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drawings/drawing3.xml" ContentType="application/vnd.openxmlformats-officedocument.drawing+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240" yWindow="168" windowWidth="14808" windowHeight="7956" activeTab="2"/>
  </bookViews>
  <sheets>
    <sheet name="INSTRUCTION" sheetId="1" r:id="rId1"/>
    <sheet name="INPUT" sheetId="2" r:id="rId2"/>
    <sheet name="OUTPUT" sheetId="3" r:id="rId3"/>
  </sheets>
  <functionGroups builtInGroupCount="17"/>
  <definedNames>
    <definedName name="CoolingCoil">INPUT!$B$13</definedName>
    <definedName name="CurveObjName">INPUT!$B$8</definedName>
    <definedName name="CurveType">INPUT!$B$5</definedName>
    <definedName name="DXCoilType">INPUT!$B$3</definedName>
    <definedName name="EPCurveObjName">OUTPUT!$C$2</definedName>
    <definedName name="HeatingCoil">INPUT!$B$13</definedName>
    <definedName name="IndVariables">INPUT!$B$4</definedName>
    <definedName name="PathName">OUTPUT!$C$3</definedName>
    <definedName name="RatedCondition">INPUT!$B$11</definedName>
    <definedName name="UnitsType">INPUT!$B$6</definedName>
  </definedNames>
  <calcPr calcId="145621"/>
</workbook>
</file>

<file path=xl/calcChain.xml><?xml version="1.0" encoding="utf-8"?>
<calcChain xmlns="http://schemas.openxmlformats.org/spreadsheetml/2006/main">
  <c r="V131" i="1" l="1"/>
  <c r="M131" i="1" l="1"/>
  <c r="T131" i="1"/>
  <c r="T244" i="1"/>
  <c r="L262" i="1"/>
  <c r="K262" i="1"/>
  <c r="I158" i="1"/>
  <c r="I159" i="1"/>
  <c r="J159" i="1"/>
  <c r="I160" i="1"/>
  <c r="J160" i="1"/>
  <c r="I161" i="1"/>
  <c r="J161" i="1"/>
  <c r="I162" i="1"/>
  <c r="J162" i="1"/>
  <c r="I163" i="1"/>
  <c r="J163" i="1"/>
  <c r="I164" i="1"/>
  <c r="J164" i="1"/>
  <c r="I165" i="1"/>
  <c r="J165" i="1"/>
  <c r="I166" i="1"/>
  <c r="J166" i="1"/>
  <c r="I167" i="1"/>
  <c r="J167" i="1"/>
  <c r="I168" i="1"/>
  <c r="J168" i="1"/>
  <c r="I169" i="1"/>
  <c r="J169" i="1"/>
  <c r="I170" i="1"/>
  <c r="J170" i="1"/>
  <c r="I171" i="1"/>
  <c r="J171" i="1"/>
  <c r="I172" i="1"/>
  <c r="J172" i="1"/>
  <c r="I173" i="1"/>
  <c r="J173" i="1"/>
  <c r="I174" i="1"/>
  <c r="J174" i="1"/>
  <c r="I175" i="1"/>
  <c r="J175" i="1"/>
  <c r="I176" i="1"/>
  <c r="J176" i="1"/>
  <c r="I177" i="1"/>
  <c r="J177" i="1"/>
  <c r="L159" i="1"/>
  <c r="L160" i="1"/>
  <c r="L161" i="1"/>
  <c r="L162" i="1"/>
  <c r="L163" i="1"/>
  <c r="L164" i="1"/>
  <c r="L165" i="1"/>
  <c r="L166" i="1"/>
  <c r="L167" i="1"/>
  <c r="L168" i="1"/>
  <c r="L169" i="1"/>
  <c r="L170" i="1"/>
  <c r="L171" i="1"/>
  <c r="L172" i="1"/>
  <c r="L173" i="1"/>
  <c r="L174" i="1"/>
  <c r="L175" i="1"/>
  <c r="L176" i="1"/>
  <c r="L177" i="1"/>
  <c r="K159" i="1"/>
  <c r="K160" i="1"/>
  <c r="K161" i="1"/>
  <c r="K162" i="1"/>
  <c r="K163" i="1"/>
  <c r="K164" i="1"/>
  <c r="K165" i="1"/>
  <c r="K166" i="1"/>
  <c r="K167" i="1"/>
  <c r="K168" i="1"/>
  <c r="K169" i="1"/>
  <c r="K170" i="1"/>
  <c r="K171" i="1"/>
  <c r="K172" i="1"/>
  <c r="K173" i="1"/>
  <c r="K174" i="1"/>
  <c r="K175" i="1"/>
  <c r="K176" i="1"/>
  <c r="K177" i="1"/>
  <c r="K158" i="1"/>
  <c r="V132" i="1"/>
  <c r="V133" i="1"/>
  <c r="V134" i="1"/>
  <c r="V135" i="1"/>
  <c r="S144" i="1"/>
  <c r="T132" i="1"/>
  <c r="T133" i="1"/>
  <c r="T134" i="1"/>
  <c r="T135" i="1"/>
  <c r="M132" i="1"/>
  <c r="M133" i="1"/>
  <c r="M134" i="1"/>
  <c r="M135" i="1"/>
  <c r="M136" i="1"/>
  <c r="M137" i="1"/>
  <c r="M138" i="1"/>
  <c r="M139" i="1"/>
  <c r="M140" i="1"/>
  <c r="M141" i="1"/>
  <c r="M142" i="1"/>
  <c r="M143" i="1"/>
  <c r="M144" i="1"/>
  <c r="M145" i="1"/>
  <c r="M146" i="1"/>
  <c r="M147" i="1"/>
  <c r="M148" i="1"/>
  <c r="M149" i="1"/>
  <c r="M150" i="1"/>
  <c r="L244" i="1"/>
  <c r="N131" i="1"/>
  <c r="N132" i="1" l="1"/>
  <c r="N133" i="1"/>
  <c r="N134" i="1"/>
  <c r="N135" i="1"/>
  <c r="N136" i="1"/>
  <c r="N137" i="1"/>
  <c r="N138" i="1"/>
  <c r="N139" i="1"/>
  <c r="N140" i="1"/>
  <c r="N141" i="1"/>
  <c r="N142" i="1"/>
  <c r="N143" i="1"/>
  <c r="N144" i="1"/>
  <c r="N145" i="1"/>
  <c r="N146" i="1"/>
  <c r="N147" i="1"/>
  <c r="N148" i="1"/>
  <c r="N149" i="1"/>
  <c r="N150" i="1"/>
  <c r="L158" i="1"/>
  <c r="T144" i="1"/>
  <c r="C279" i="1" l="1"/>
  <c r="C278" i="1"/>
  <c r="C277" i="1"/>
  <c r="C276" i="1"/>
  <c r="C275" i="1"/>
  <c r="C274" i="1"/>
  <c r="K273" i="1"/>
  <c r="J273" i="1"/>
  <c r="I273" i="1"/>
  <c r="C273" i="1"/>
  <c r="K272" i="1"/>
  <c r="J272" i="1"/>
  <c r="I272" i="1"/>
  <c r="C272" i="1"/>
  <c r="K271" i="1"/>
  <c r="J271" i="1"/>
  <c r="I271" i="1"/>
  <c r="C271" i="1"/>
  <c r="K270" i="1"/>
  <c r="J270" i="1"/>
  <c r="I270" i="1"/>
  <c r="C270" i="1"/>
  <c r="K269" i="1"/>
  <c r="J269" i="1"/>
  <c r="I269" i="1"/>
  <c r="C269" i="1"/>
  <c r="K268" i="1"/>
  <c r="J268" i="1"/>
  <c r="I268" i="1"/>
  <c r="C268" i="1"/>
  <c r="K267" i="1"/>
  <c r="J267" i="1"/>
  <c r="I267" i="1"/>
  <c r="C267" i="1"/>
  <c r="K266" i="1"/>
  <c r="J266" i="1"/>
  <c r="I266" i="1"/>
  <c r="C266" i="1"/>
  <c r="K265" i="1"/>
  <c r="J265" i="1"/>
  <c r="I265" i="1"/>
  <c r="C265" i="1"/>
  <c r="K264" i="1"/>
  <c r="J264" i="1"/>
  <c r="I264" i="1"/>
  <c r="C264" i="1"/>
  <c r="K263" i="1"/>
  <c r="J263" i="1"/>
  <c r="I263" i="1"/>
  <c r="C263" i="1"/>
  <c r="J262" i="1"/>
  <c r="I262" i="1"/>
  <c r="C262" i="1"/>
  <c r="R255" i="1"/>
  <c r="Q255" i="1"/>
  <c r="R254" i="1"/>
  <c r="Q254" i="1"/>
  <c r="R253" i="1"/>
  <c r="Q253" i="1"/>
  <c r="C252" i="1"/>
  <c r="C251" i="1"/>
  <c r="C250" i="1"/>
  <c r="C249" i="1"/>
  <c r="C248" i="1"/>
  <c r="C247" i="1"/>
  <c r="C246" i="1"/>
  <c r="C245" i="1"/>
  <c r="C244" i="1"/>
  <c r="R239" i="1"/>
  <c r="J158" i="1"/>
  <c r="R148" i="1"/>
  <c r="R147" i="1"/>
  <c r="R146" i="1"/>
  <c r="R145" i="1"/>
  <c r="R144" i="1"/>
  <c r="T148" i="1"/>
  <c r="S148" i="1"/>
  <c r="T147" i="1"/>
  <c r="S147" i="1"/>
  <c r="T146" i="1"/>
  <c r="S146" i="1"/>
  <c r="T145" i="1"/>
  <c r="S145" i="1"/>
  <c r="L247" i="1" l="1"/>
  <c r="L265" i="1" s="1"/>
  <c r="L251" i="1"/>
  <c r="L269" i="1" s="1"/>
  <c r="L255" i="1"/>
  <c r="L273" i="1" s="1"/>
  <c r="S253" i="1"/>
  <c r="L248" i="1"/>
  <c r="L266" i="1" s="1"/>
  <c r="L245" i="1"/>
  <c r="L263" i="1" s="1"/>
  <c r="L249" i="1"/>
  <c r="L267" i="1" s="1"/>
  <c r="T245" i="1"/>
  <c r="S254" i="1" s="1"/>
  <c r="L252" i="1"/>
  <c r="L270" i="1" s="1"/>
  <c r="L246" i="1"/>
  <c r="L264" i="1" s="1"/>
  <c r="L250" i="1"/>
  <c r="L268" i="1" s="1"/>
  <c r="L254" i="1"/>
  <c r="L272" i="1" s="1"/>
  <c r="T246" i="1"/>
  <c r="S255" i="1" s="1"/>
  <c r="L253" i="1"/>
  <c r="L271" i="1" s="1"/>
</calcChain>
</file>

<file path=xl/sharedStrings.xml><?xml version="1.0" encoding="utf-8"?>
<sst xmlns="http://schemas.openxmlformats.org/spreadsheetml/2006/main" count="134" uniqueCount="79">
  <si>
    <t xml:space="preserve">DX Coil Type: </t>
  </si>
  <si>
    <t xml:space="preserve">Independent Variable: </t>
  </si>
  <si>
    <t xml:space="preserve">Curve Type: </t>
  </si>
  <si>
    <t xml:space="preserve">Units: </t>
  </si>
  <si>
    <t xml:space="preserve">Rated Data:  </t>
  </si>
  <si>
    <t xml:space="preserve">Performance Data:  </t>
  </si>
  <si>
    <t>R Squared</t>
  </si>
  <si>
    <t>!- Coefficient1 Constant</t>
  </si>
  <si>
    <t>!- Coefficient2 x</t>
  </si>
  <si>
    <t>!- Coefficient3 x**2</t>
  </si>
  <si>
    <t>!- Minimum Value of x</t>
  </si>
  <si>
    <t>!- Maximum Value of x</t>
  </si>
  <si>
    <t>!- Minimum Curve Output</t>
  </si>
  <si>
    <t>!- Maximum Curve Output</t>
  </si>
  <si>
    <t>!- Input Unit Type for X</t>
  </si>
  <si>
    <t>Dimensionless</t>
  </si>
  <si>
    <t>!- Output Unit Type</t>
  </si>
  <si>
    <t>SAMPLE DATA I</t>
  </si>
  <si>
    <t>Carrier Two-Speed Electric Heat Pump: SYNERGY 38YDA</t>
  </si>
  <si>
    <t>Indoor Fan Power</t>
  </si>
  <si>
    <t>W</t>
  </si>
  <si>
    <t>Capacity and Power data at various temperatures and rated flow rate.  This data is</t>
  </si>
  <si>
    <t xml:space="preserve">Capacity and Power Data at various supply air flow rates and rated temperatures. </t>
  </si>
  <si>
    <t>Manufacturer's Data</t>
  </si>
  <si>
    <t>used to generate Capacity and EIR curves as a function of temperatures.</t>
  </si>
  <si>
    <t xml:space="preserve"> This data is used to generate Capacity and EIR curves as a flow fraction.</t>
  </si>
  <si>
    <t>Corrected</t>
  </si>
  <si>
    <t>CFM</t>
  </si>
  <si>
    <t>Format Required By the Tool</t>
  </si>
  <si>
    <t>INPUT DATA FOR CAP AND EIR AS A FUNCTION OF FLOW</t>
  </si>
  <si>
    <t>INPUT DATA FOR CAP AND EIR AS A FUNCTION OF TEMPERATURE</t>
  </si>
  <si>
    <t>SAMPLE DATA II</t>
  </si>
  <si>
    <t>PACKAGED HEAT PUMP</t>
  </si>
  <si>
    <t>LENNOX KH Landmark RoofTop Unit: Model KHA036S4</t>
  </si>
  <si>
    <t xml:space="preserve">Outdoor Coil Fan Power: </t>
  </si>
  <si>
    <t>Capacity and Power data at various temperatures and rated flow rate.  This data</t>
  </si>
  <si>
    <t xml:space="preserve"> is used to generate Capacity and EIR curves as a function of temperatures.</t>
  </si>
  <si>
    <t xml:space="preserve">Curve Object Name: </t>
  </si>
  <si>
    <t>!- Name</t>
  </si>
  <si>
    <t xml:space="preserve">Output File Name: </t>
  </si>
  <si>
    <t xml:space="preserve">Output File Path: </t>
  </si>
  <si>
    <t>TDB, °F</t>
  </si>
  <si>
    <r>
      <t xml:space="preserve">TWB, </t>
    </r>
    <r>
      <rPr>
        <sz val="11"/>
        <color theme="1"/>
        <rFont val="Calibri"/>
        <family val="2"/>
      </rPr>
      <t>°F</t>
    </r>
  </si>
  <si>
    <t>CAP, kBTuh</t>
  </si>
  <si>
    <t>Total POWER, kW</t>
  </si>
  <si>
    <t>GROSS CAP, kBtuh</t>
  </si>
  <si>
    <t>POWER, kW</t>
  </si>
  <si>
    <t>TWB, °F</t>
  </si>
  <si>
    <t>CAP, kBtuh</t>
  </si>
  <si>
    <t>Gross CAP, kBtuh</t>
  </si>
  <si>
    <t>Power (Compressor + Outdoor Coil Fan), kW</t>
  </si>
  <si>
    <t>Power, kW</t>
  </si>
  <si>
    <t>Comp. Power, kW</t>
  </si>
  <si>
    <t>Flow, CFM</t>
  </si>
  <si>
    <t>EPlusCurveObjects</t>
  </si>
  <si>
    <t>Temperature</t>
  </si>
  <si>
    <t>Other</t>
  </si>
  <si>
    <t>X: Independent Variable 1</t>
  </si>
  <si>
    <t>Y: Independent Variable 2</t>
  </si>
  <si>
    <t>Capacity: Dependent Variable</t>
  </si>
  <si>
    <t>Power: Dependent Variable</t>
  </si>
  <si>
    <t>!- Coefficient4 y</t>
  </si>
  <si>
    <t>!- Coefficient5 y**2</t>
  </si>
  <si>
    <t>!- Coefficient6 x*y</t>
  </si>
  <si>
    <t>!- Minimum Value of y</t>
  </si>
  <si>
    <t>!- Maximum Value of y</t>
  </si>
  <si>
    <t>!- Input Unit Type for Y</t>
  </si>
  <si>
    <t>Bicubic</t>
  </si>
  <si>
    <t>Curve:Bicubic</t>
  </si>
  <si>
    <t>!- Coefficient7 x**3</t>
  </si>
  <si>
    <t>!- Coefficient8 y**3</t>
  </si>
  <si>
    <t>!- Coefficient9 x**2*y</t>
  </si>
  <si>
    <t>!- Coefficient10 x*y**2</t>
  </si>
  <si>
    <t>SI</t>
  </si>
  <si>
    <t>oC</t>
  </si>
  <si>
    <t>C:\ConvergentSolutions\CurveFitTool\</t>
  </si>
  <si>
    <t>! 0.9957</t>
  </si>
  <si>
    <t>ReformulatedChiller</t>
  </si>
  <si>
    <t>ReformulatedChillerOtherEIRfTPLR</t>
  </si>
</sst>
</file>

<file path=xl/styles.xml><?xml version="1.0" encoding="utf-8"?>
<styleSheet xmlns="http://schemas.openxmlformats.org/spreadsheetml/2006/main" xmlns:mc="http://schemas.openxmlformats.org/markup-compatibility/2006" xmlns:x14ac="http://schemas.microsoft.com/office/spreadsheetml/2009/9/ac" mc:Ignorable="x14ac">
  <numFmts count="6">
    <numFmt numFmtId="164" formatCode="0.0000"/>
    <numFmt numFmtId="165" formatCode="0.00000000"/>
    <numFmt numFmtId="166" formatCode="0.0000000000"/>
    <numFmt numFmtId="167" formatCode="0.000"/>
    <numFmt numFmtId="168" formatCode="0.0"/>
    <numFmt numFmtId="169" formatCode="0.0000000000000000"/>
  </numFmts>
  <fonts count="32" x14ac:knownFonts="1">
    <font>
      <sz val="11"/>
      <color theme="1"/>
      <name val="Calibri"/>
      <family val="2"/>
      <scheme val="minor"/>
    </font>
    <font>
      <sz val="14"/>
      <color theme="1"/>
      <name val="Calibri"/>
      <family val="2"/>
      <scheme val="minor"/>
    </font>
    <font>
      <sz val="14"/>
      <color theme="1"/>
      <name val="Calibri"/>
      <family val="2"/>
      <scheme val="minor"/>
    </font>
    <font>
      <b/>
      <sz val="11"/>
      <color theme="1"/>
      <name val="Calibri"/>
      <family val="2"/>
      <scheme val="minor"/>
    </font>
    <font>
      <b/>
      <sz val="12"/>
      <color rgb="FF0000CC"/>
      <name val="Calibri"/>
      <family val="2"/>
      <scheme val="minor"/>
    </font>
    <font>
      <sz val="11"/>
      <name val="Calibri"/>
      <family val="2"/>
      <scheme val="minor"/>
    </font>
    <font>
      <sz val="14"/>
      <color rgb="FF0000CC"/>
      <name val="Calibri"/>
      <family val="2"/>
      <scheme val="minor"/>
    </font>
    <font>
      <sz val="11"/>
      <color rgb="FF0000CC"/>
      <name val="Calibri"/>
      <family val="2"/>
      <scheme val="minor"/>
    </font>
    <font>
      <b/>
      <sz val="11"/>
      <color rgb="FF0000CC"/>
      <name val="Calibri"/>
      <family val="2"/>
      <scheme val="minor"/>
    </font>
    <font>
      <b/>
      <sz val="16"/>
      <color rgb="FF0000FF"/>
      <name val="Calibri"/>
      <family val="2"/>
    </font>
    <font>
      <b/>
      <sz val="14"/>
      <color rgb="FF0000FF"/>
      <name val="Calibri"/>
      <family val="2"/>
    </font>
    <font>
      <sz val="11"/>
      <color theme="1"/>
      <name val="Calibri"/>
      <family val="2"/>
    </font>
    <font>
      <sz val="10"/>
      <name val="MS Sans Serif"/>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4"/>
      <color rgb="FF006100"/>
      <name val="Calibri"/>
      <family val="2"/>
      <scheme val="minor"/>
    </font>
    <font>
      <sz val="14"/>
      <color rgb="FF9C0006"/>
      <name val="Calibri"/>
      <family val="2"/>
      <scheme val="minor"/>
    </font>
    <font>
      <sz val="14"/>
      <color rgb="FF9C6500"/>
      <name val="Calibri"/>
      <family val="2"/>
      <scheme val="minor"/>
    </font>
    <font>
      <sz val="14"/>
      <color rgb="FF3F3F76"/>
      <name val="Calibri"/>
      <family val="2"/>
      <scheme val="minor"/>
    </font>
    <font>
      <b/>
      <sz val="14"/>
      <color rgb="FF3F3F3F"/>
      <name val="Calibri"/>
      <family val="2"/>
      <scheme val="minor"/>
    </font>
    <font>
      <b/>
      <sz val="14"/>
      <color rgb="FFFA7D00"/>
      <name val="Calibri"/>
      <family val="2"/>
      <scheme val="minor"/>
    </font>
    <font>
      <sz val="14"/>
      <color rgb="FFFA7D00"/>
      <name val="Calibri"/>
      <family val="2"/>
      <scheme val="minor"/>
    </font>
    <font>
      <b/>
      <sz val="14"/>
      <color theme="0"/>
      <name val="Calibri"/>
      <family val="2"/>
      <scheme val="minor"/>
    </font>
    <font>
      <sz val="14"/>
      <color rgb="FFFF0000"/>
      <name val="Calibri"/>
      <family val="2"/>
      <scheme val="minor"/>
    </font>
    <font>
      <i/>
      <sz val="14"/>
      <color rgb="FF7F7F7F"/>
      <name val="Calibri"/>
      <family val="2"/>
      <scheme val="minor"/>
    </font>
    <font>
      <b/>
      <sz val="14"/>
      <color theme="1"/>
      <name val="Calibri"/>
      <family val="2"/>
      <scheme val="minor"/>
    </font>
    <font>
      <sz val="14"/>
      <color theme="0"/>
      <name val="Calibri"/>
      <family val="2"/>
      <scheme val="minor"/>
    </font>
    <font>
      <sz val="11"/>
      <color theme="1"/>
      <name val="Calibri"/>
      <family val="2"/>
      <scheme val="minor"/>
    </font>
    <font>
      <sz val="10"/>
      <color theme="1"/>
      <name val="Calibri"/>
      <family val="2"/>
      <scheme val="minor"/>
    </font>
    <font>
      <sz val="10"/>
      <name val="Calibri"/>
      <family val="2"/>
      <scheme val="minor"/>
    </font>
  </fonts>
  <fills count="34">
    <fill>
      <patternFill patternType="none"/>
    </fill>
    <fill>
      <patternFill patternType="gray125"/>
    </fill>
    <fill>
      <patternFill patternType="solid">
        <fgColor theme="0" tint="-0.14999847407452621"/>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22">
    <border>
      <left/>
      <right/>
      <top/>
      <bottom/>
      <diagonal/>
    </border>
    <border>
      <left style="thin">
        <color indexed="64"/>
      </left>
      <right style="thin">
        <color indexed="64"/>
      </right>
      <top style="thin">
        <color indexed="64"/>
      </top>
      <bottom/>
      <diagonal/>
    </border>
    <border>
      <left/>
      <right style="thin">
        <color indexed="64"/>
      </right>
      <top style="thin">
        <color indexed="64"/>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top/>
      <bottom style="thin">
        <color indexed="64"/>
      </bottom>
      <diagonal/>
    </border>
    <border>
      <left/>
      <right/>
      <top/>
      <bottom style="thin">
        <color indexed="64"/>
      </bottom>
      <diagonal/>
    </border>
    <border>
      <left/>
      <right/>
      <top/>
      <bottom style="double">
        <color indexed="64"/>
      </bottom>
      <diagonal/>
    </border>
    <border>
      <left/>
      <right/>
      <top style="thin">
        <color indexed="64"/>
      </top>
      <bottom style="double">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61">
    <xf numFmtId="0" fontId="0" fillId="0" borderId="0"/>
    <xf numFmtId="0" fontId="12" fillId="0" borderId="0"/>
    <xf numFmtId="0" fontId="13" fillId="0" borderId="0" applyNumberFormat="0" applyFill="0" applyBorder="0" applyAlignment="0" applyProtection="0"/>
    <xf numFmtId="0" fontId="14" fillId="0" borderId="13" applyNumberFormat="0" applyFill="0" applyAlignment="0" applyProtection="0"/>
    <xf numFmtId="0" fontId="15" fillId="0" borderId="14" applyNumberFormat="0" applyFill="0" applyAlignment="0" applyProtection="0"/>
    <xf numFmtId="0" fontId="16" fillId="0" borderId="15" applyNumberFormat="0" applyFill="0" applyAlignment="0" applyProtection="0"/>
    <xf numFmtId="0" fontId="16" fillId="0" borderId="0" applyNumberFormat="0" applyFill="0" applyBorder="0" applyAlignment="0" applyProtection="0"/>
    <xf numFmtId="0" fontId="17" fillId="3" borderId="0" applyNumberFormat="0" applyBorder="0" applyAlignment="0" applyProtection="0"/>
    <xf numFmtId="0" fontId="18" fillId="4" borderId="0" applyNumberFormat="0" applyBorder="0" applyAlignment="0" applyProtection="0"/>
    <xf numFmtId="0" fontId="19" fillId="5" borderId="0" applyNumberFormat="0" applyBorder="0" applyAlignment="0" applyProtection="0"/>
    <xf numFmtId="0" fontId="20" fillId="6" borderId="16" applyNumberFormat="0" applyAlignment="0" applyProtection="0"/>
    <xf numFmtId="0" fontId="21" fillId="7" borderId="17" applyNumberFormat="0" applyAlignment="0" applyProtection="0"/>
    <xf numFmtId="0" fontId="22" fillId="7" borderId="16" applyNumberFormat="0" applyAlignment="0" applyProtection="0"/>
    <xf numFmtId="0" fontId="23" fillId="0" borderId="18" applyNumberFormat="0" applyFill="0" applyAlignment="0" applyProtection="0"/>
    <xf numFmtId="0" fontId="24" fillId="8" borderId="19" applyNumberFormat="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7" fillId="0" borderId="21" applyNumberFormat="0" applyFill="0" applyAlignment="0" applyProtection="0"/>
    <xf numFmtId="0" fontId="28" fillId="10" borderId="0" applyNumberFormat="0" applyBorder="0" applyAlignment="0" applyProtection="0"/>
    <xf numFmtId="0" fontId="2" fillId="11" borderId="0" applyNumberFormat="0" applyBorder="0" applyAlignment="0" applyProtection="0"/>
    <xf numFmtId="0" fontId="2" fillId="12" borderId="0" applyNumberFormat="0" applyBorder="0" applyAlignment="0" applyProtection="0"/>
    <xf numFmtId="0" fontId="28" fillId="13" borderId="0" applyNumberFormat="0" applyBorder="0" applyAlignment="0" applyProtection="0"/>
    <xf numFmtId="0" fontId="28" fillId="14" borderId="0" applyNumberFormat="0" applyBorder="0" applyAlignment="0" applyProtection="0"/>
    <xf numFmtId="0" fontId="2" fillId="15" borderId="0" applyNumberFormat="0" applyBorder="0" applyAlignment="0" applyProtection="0"/>
    <xf numFmtId="0" fontId="2" fillId="16" borderId="0" applyNumberFormat="0" applyBorder="0" applyAlignment="0" applyProtection="0"/>
    <xf numFmtId="0" fontId="28" fillId="17" borderId="0" applyNumberFormat="0" applyBorder="0" applyAlignment="0" applyProtection="0"/>
    <xf numFmtId="0" fontId="28" fillId="18" borderId="0" applyNumberFormat="0" applyBorder="0" applyAlignment="0" applyProtection="0"/>
    <xf numFmtId="0" fontId="2" fillId="19" borderId="0" applyNumberFormat="0" applyBorder="0" applyAlignment="0" applyProtection="0"/>
    <xf numFmtId="0" fontId="2" fillId="20" borderId="0" applyNumberFormat="0" applyBorder="0" applyAlignment="0" applyProtection="0"/>
    <xf numFmtId="0" fontId="28" fillId="21" borderId="0" applyNumberFormat="0" applyBorder="0" applyAlignment="0" applyProtection="0"/>
    <xf numFmtId="0" fontId="28" fillId="22" borderId="0" applyNumberFormat="0" applyBorder="0" applyAlignment="0" applyProtection="0"/>
    <xf numFmtId="0" fontId="2" fillId="23" borderId="0" applyNumberFormat="0" applyBorder="0" applyAlignment="0" applyProtection="0"/>
    <xf numFmtId="0" fontId="2" fillId="24" borderId="0" applyNumberFormat="0" applyBorder="0" applyAlignment="0" applyProtection="0"/>
    <xf numFmtId="0" fontId="28" fillId="25" borderId="0" applyNumberFormat="0" applyBorder="0" applyAlignment="0" applyProtection="0"/>
    <xf numFmtId="0" fontId="28" fillId="26" borderId="0" applyNumberFormat="0" applyBorder="0" applyAlignment="0" applyProtection="0"/>
    <xf numFmtId="0" fontId="2" fillId="27" borderId="0" applyNumberFormat="0" applyBorder="0" applyAlignment="0" applyProtection="0"/>
    <xf numFmtId="0" fontId="2" fillId="28" borderId="0" applyNumberFormat="0" applyBorder="0" applyAlignment="0" applyProtection="0"/>
    <xf numFmtId="0" fontId="28" fillId="29" borderId="0" applyNumberFormat="0" applyBorder="0" applyAlignment="0" applyProtection="0"/>
    <xf numFmtId="0" fontId="28" fillId="30" borderId="0" applyNumberFormat="0" applyBorder="0" applyAlignment="0" applyProtection="0"/>
    <xf numFmtId="0" fontId="2" fillId="31" borderId="0" applyNumberFormat="0" applyBorder="0" applyAlignment="0" applyProtection="0"/>
    <xf numFmtId="0" fontId="2" fillId="32" borderId="0" applyNumberFormat="0" applyBorder="0" applyAlignment="0" applyProtection="0"/>
    <xf numFmtId="0" fontId="28" fillId="33" borderId="0" applyNumberFormat="0" applyBorder="0" applyAlignment="0" applyProtection="0"/>
    <xf numFmtId="0" fontId="2" fillId="0" borderId="0"/>
    <xf numFmtId="0" fontId="2" fillId="9" borderId="20" applyNumberFormat="0" applyFont="0" applyAlignment="0" applyProtection="0"/>
    <xf numFmtId="0" fontId="1" fillId="0" borderId="0"/>
    <xf numFmtId="0" fontId="1" fillId="9" borderId="20" applyNumberFormat="0" applyFont="0" applyAlignment="0" applyProtection="0"/>
    <xf numFmtId="0" fontId="1" fillId="11" borderId="0" applyNumberFormat="0" applyBorder="0" applyAlignment="0" applyProtection="0"/>
    <xf numFmtId="0" fontId="1" fillId="12"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29" fillId="0" borderId="0"/>
    <xf numFmtId="0" fontId="1" fillId="0" borderId="0"/>
    <xf numFmtId="0" fontId="1" fillId="9" borderId="20" applyNumberFormat="0" applyFont="0" applyAlignment="0" applyProtection="0"/>
  </cellStyleXfs>
  <cellXfs count="83">
    <xf numFmtId="0" fontId="0" fillId="0" borderId="0" xfId="0"/>
    <xf numFmtId="0" fontId="3" fillId="2" borderId="1" xfId="0" applyFont="1" applyFill="1" applyBorder="1" applyAlignment="1">
      <alignment horizontal="right" vertical="center"/>
    </xf>
    <xf numFmtId="0" fontId="4" fillId="2" borderId="2" xfId="0" applyFont="1" applyFill="1" applyBorder="1" applyAlignment="1">
      <alignment horizontal="center"/>
    </xf>
    <xf numFmtId="0" fontId="0" fillId="0" borderId="0" xfId="0" applyFill="1"/>
    <xf numFmtId="0" fontId="3" fillId="2" borderId="3" xfId="0" applyFont="1" applyFill="1" applyBorder="1" applyAlignment="1">
      <alignment horizontal="right" vertical="center"/>
    </xf>
    <xf numFmtId="0" fontId="4" fillId="2" borderId="4" xfId="0" applyFont="1" applyFill="1" applyBorder="1" applyAlignment="1">
      <alignment horizontal="center" vertical="center"/>
    </xf>
    <xf numFmtId="0" fontId="3" fillId="2" borderId="5" xfId="0" applyFont="1" applyFill="1" applyBorder="1" applyAlignment="1">
      <alignment horizontal="right" vertical="center"/>
    </xf>
    <xf numFmtId="0" fontId="4" fillId="2" borderId="6" xfId="0" applyFont="1" applyFill="1" applyBorder="1" applyAlignment="1">
      <alignment horizontal="center"/>
    </xf>
    <xf numFmtId="0" fontId="0" fillId="0" borderId="0" xfId="0" applyFill="1" applyAlignment="1">
      <alignment horizontal="center"/>
    </xf>
    <xf numFmtId="0" fontId="0" fillId="0" borderId="0" xfId="0" applyFill="1" applyAlignment="1">
      <alignment horizontal="right"/>
    </xf>
    <xf numFmtId="0" fontId="0" fillId="0" borderId="0" xfId="0" applyFill="1" applyAlignment="1">
      <alignment horizontal="center" vertical="center"/>
    </xf>
    <xf numFmtId="0" fontId="3" fillId="2" borderId="0" xfId="0" applyFont="1" applyFill="1" applyAlignment="1">
      <alignment horizontal="right" vertical="center"/>
    </xf>
    <xf numFmtId="0" fontId="3" fillId="2" borderId="7" xfId="0" applyFont="1" applyFill="1" applyBorder="1" applyAlignment="1">
      <alignment horizontal="center" vertical="center" wrapText="1" shrinkToFit="1"/>
    </xf>
    <xf numFmtId="0" fontId="3" fillId="2" borderId="8" xfId="0" applyFont="1" applyFill="1" applyBorder="1" applyAlignment="1">
      <alignment horizontal="center" vertical="center" wrapText="1" shrinkToFit="1"/>
    </xf>
    <xf numFmtId="0" fontId="3" fillId="2" borderId="4" xfId="0" applyFont="1" applyFill="1" applyBorder="1" applyAlignment="1">
      <alignment horizontal="center" vertical="center" wrapText="1" shrinkToFit="1"/>
    </xf>
    <xf numFmtId="0" fontId="3" fillId="2" borderId="9" xfId="0" applyFont="1" applyFill="1" applyBorder="1" applyAlignment="1">
      <alignment horizontal="center" vertical="center" wrapText="1" shrinkToFit="1"/>
    </xf>
    <xf numFmtId="0" fontId="3" fillId="2" borderId="10" xfId="0" applyFont="1" applyFill="1" applyBorder="1" applyAlignment="1">
      <alignment horizontal="center" vertical="center" wrapText="1" shrinkToFit="1"/>
    </xf>
    <xf numFmtId="0" fontId="3" fillId="2" borderId="6" xfId="0" applyFont="1" applyFill="1" applyBorder="1" applyAlignment="1">
      <alignment horizontal="center" vertical="center" wrapText="1" shrinkToFit="1"/>
    </xf>
    <xf numFmtId="2" fontId="0" fillId="0" borderId="0" xfId="0" applyNumberFormat="1" applyFill="1" applyAlignment="1">
      <alignment horizontal="center" vertical="center"/>
    </xf>
    <xf numFmtId="0" fontId="0" fillId="0" borderId="0" xfId="0" applyFill="1" applyAlignment="1">
      <alignment wrapText="1"/>
    </xf>
    <xf numFmtId="164" fontId="0" fillId="0" borderId="0" xfId="0" applyNumberFormat="1" applyFill="1"/>
    <xf numFmtId="0" fontId="5" fillId="0" borderId="0" xfId="0" applyFont="1" applyFill="1" applyAlignment="1">
      <alignment horizontal="center" vertical="center"/>
    </xf>
    <xf numFmtId="165" fontId="0" fillId="0" borderId="0" xfId="0" applyNumberFormat="1" applyFill="1" applyAlignment="1">
      <alignment horizontal="center" vertical="center"/>
    </xf>
    <xf numFmtId="166" fontId="0" fillId="0" borderId="0" xfId="0" applyNumberFormat="1" applyFill="1"/>
    <xf numFmtId="0" fontId="5" fillId="0" borderId="0" xfId="0" applyFont="1" applyFill="1" applyAlignment="1">
      <alignment horizontal="right" vertical="center"/>
    </xf>
    <xf numFmtId="167" fontId="0" fillId="0" borderId="0" xfId="0" applyNumberFormat="1" applyFill="1"/>
    <xf numFmtId="2" fontId="0" fillId="0" borderId="0" xfId="0" applyNumberFormat="1" applyFill="1"/>
    <xf numFmtId="2" fontId="0" fillId="0" borderId="0" xfId="0" applyNumberFormat="1" applyFill="1" applyAlignment="1">
      <alignment horizontal="right"/>
    </xf>
    <xf numFmtId="0" fontId="0" fillId="0" borderId="0" xfId="0" applyFill="1" applyAlignment="1">
      <alignment horizontal="right" wrapText="1"/>
    </xf>
    <xf numFmtId="166" fontId="0" fillId="0" borderId="0" xfId="0" applyNumberFormat="1" applyFill="1" applyAlignment="1">
      <alignment horizontal="center"/>
    </xf>
    <xf numFmtId="0" fontId="6" fillId="2" borderId="0" xfId="0" applyFont="1" applyFill="1"/>
    <xf numFmtId="0" fontId="7" fillId="2" borderId="0" xfId="0" applyFont="1" applyFill="1"/>
    <xf numFmtId="0" fontId="7" fillId="0" borderId="0" xfId="0" applyFont="1" applyFill="1"/>
    <xf numFmtId="0" fontId="0" fillId="2" borderId="0" xfId="0" applyFill="1"/>
    <xf numFmtId="168" fontId="0" fillId="0" borderId="0" xfId="0" applyNumberFormat="1"/>
    <xf numFmtId="0" fontId="0" fillId="0" borderId="11" xfId="0" applyBorder="1"/>
    <xf numFmtId="0" fontId="0" fillId="0" borderId="0" xfId="0" applyAlignment="1">
      <alignment horizontal="center"/>
    </xf>
    <xf numFmtId="168" fontId="0" fillId="0" borderId="0" xfId="0" applyNumberFormat="1" applyAlignment="1">
      <alignment horizontal="center"/>
    </xf>
    <xf numFmtId="2" fontId="0" fillId="0" borderId="0" xfId="0" applyNumberFormat="1" applyAlignment="1">
      <alignment horizontal="center"/>
    </xf>
    <xf numFmtId="2" fontId="7" fillId="0" borderId="0" xfId="0" applyNumberFormat="1" applyFont="1" applyAlignment="1">
      <alignment horizontal="center"/>
    </xf>
    <xf numFmtId="2" fontId="8" fillId="0" borderId="0" xfId="0" applyNumberFormat="1" applyFont="1"/>
    <xf numFmtId="2" fontId="0" fillId="0" borderId="0" xfId="0" applyNumberFormat="1"/>
    <xf numFmtId="0" fontId="0" fillId="0" borderId="11" xfId="0" applyBorder="1" applyAlignment="1">
      <alignment horizontal="center"/>
    </xf>
    <xf numFmtId="0" fontId="7" fillId="0" borderId="0" xfId="0" applyFont="1" applyAlignment="1">
      <alignment horizontal="center"/>
    </xf>
    <xf numFmtId="0" fontId="3" fillId="0" borderId="0" xfId="0" applyFont="1" applyBorder="1" applyAlignment="1">
      <alignment vertical="center" wrapText="1" shrinkToFit="1"/>
    </xf>
    <xf numFmtId="0" fontId="3" fillId="0" borderId="0" xfId="0" applyFont="1" applyBorder="1" applyAlignment="1">
      <alignment horizontal="center" vertical="center" wrapText="1" shrinkToFit="1"/>
    </xf>
    <xf numFmtId="0" fontId="0" fillId="0" borderId="12" xfId="0" applyBorder="1"/>
    <xf numFmtId="2" fontId="0" fillId="0" borderId="0" xfId="0" applyNumberFormat="1" applyBorder="1"/>
    <xf numFmtId="0" fontId="0" fillId="0" borderId="12" xfId="0" applyBorder="1" applyAlignment="1">
      <alignment horizontal="center"/>
    </xf>
    <xf numFmtId="167" fontId="5" fillId="0" borderId="0" xfId="0" applyNumberFormat="1" applyFont="1" applyFill="1" applyAlignment="1">
      <alignment horizontal="right" vertical="center"/>
    </xf>
    <xf numFmtId="0" fontId="0" fillId="0" borderId="0" xfId="0" applyAlignment="1">
      <alignment horizontal="right"/>
    </xf>
    <xf numFmtId="0" fontId="0" fillId="0" borderId="0" xfId="0" applyAlignment="1">
      <alignment horizontal="left"/>
    </xf>
    <xf numFmtId="0" fontId="3" fillId="0" borderId="0" xfId="0" applyFont="1" applyFill="1" applyBorder="1" applyAlignment="1">
      <alignment horizontal="right" vertical="center"/>
    </xf>
    <xf numFmtId="0" fontId="4" fillId="0" borderId="0" xfId="0" applyFont="1" applyFill="1" applyBorder="1" applyAlignment="1">
      <alignment horizontal="center"/>
    </xf>
    <xf numFmtId="166" fontId="0" fillId="0" borderId="0" xfId="0" applyNumberFormat="1" applyAlignment="1">
      <alignment horizontal="right"/>
    </xf>
    <xf numFmtId="164" fontId="0" fillId="0" borderId="0" xfId="0" applyNumberFormat="1" applyAlignment="1">
      <alignment horizontal="right"/>
    </xf>
    <xf numFmtId="0" fontId="3" fillId="2" borderId="3" xfId="0" applyFont="1" applyFill="1" applyBorder="1" applyAlignment="1">
      <alignment horizontal="center" vertical="center"/>
    </xf>
    <xf numFmtId="168" fontId="7" fillId="0" borderId="0" xfId="0" applyNumberFormat="1" applyFont="1" applyAlignment="1">
      <alignment horizontal="center"/>
    </xf>
    <xf numFmtId="2" fontId="0" fillId="0" borderId="0" xfId="0" applyNumberFormat="1" applyAlignment="1">
      <alignment horizontal="right"/>
    </xf>
    <xf numFmtId="2" fontId="7" fillId="0" borderId="0" xfId="0" applyNumberFormat="1" applyFont="1" applyAlignment="1">
      <alignment horizontal="center" vertical="center"/>
    </xf>
    <xf numFmtId="2" fontId="8" fillId="0" borderId="0" xfId="0" applyNumberFormat="1" applyFont="1" applyAlignment="1">
      <alignment horizontal="center" vertical="center"/>
    </xf>
    <xf numFmtId="0" fontId="7" fillId="0" borderId="0" xfId="0" applyFont="1" applyAlignment="1">
      <alignment horizontal="center" vertical="center"/>
    </xf>
    <xf numFmtId="169" fontId="0" fillId="0" borderId="0" xfId="0" applyNumberFormat="1" applyAlignment="1">
      <alignment horizontal="center"/>
    </xf>
    <xf numFmtId="0" fontId="4" fillId="2" borderId="4" xfId="0" applyFont="1" applyFill="1" applyBorder="1" applyAlignment="1" applyProtection="1">
      <alignment horizontal="center" vertical="center"/>
      <protection locked="0"/>
    </xf>
    <xf numFmtId="0" fontId="0" fillId="0" borderId="0" xfId="0" applyFill="1" applyProtection="1">
      <protection locked="0"/>
    </xf>
    <xf numFmtId="168" fontId="30" fillId="0" borderId="0" xfId="0" applyNumberFormat="1" applyFont="1" applyAlignment="1">
      <alignment horizontal="center"/>
    </xf>
    <xf numFmtId="0" fontId="30" fillId="0" borderId="0" xfId="0" applyFont="1" applyAlignment="1">
      <alignment horizontal="center"/>
    </xf>
    <xf numFmtId="2" fontId="30" fillId="0" borderId="0" xfId="0" applyNumberFormat="1" applyFont="1" applyFill="1" applyAlignment="1">
      <alignment horizontal="center"/>
    </xf>
    <xf numFmtId="0" fontId="30" fillId="0" borderId="0" xfId="0" applyFont="1" applyFill="1" applyAlignment="1">
      <alignment horizontal="center"/>
    </xf>
    <xf numFmtId="0" fontId="30" fillId="0" borderId="0" xfId="58" applyFont="1" applyFill="1" applyAlignment="1">
      <alignment horizontal="center"/>
    </xf>
    <xf numFmtId="0" fontId="30" fillId="0" borderId="0" xfId="59" applyFont="1" applyAlignment="1">
      <alignment horizontal="center"/>
    </xf>
    <xf numFmtId="0" fontId="29" fillId="0" borderId="0" xfId="58" applyAlignment="1">
      <alignment horizontal="center"/>
    </xf>
    <xf numFmtId="168" fontId="29" fillId="0" borderId="0" xfId="58" applyNumberFormat="1" applyAlignment="1">
      <alignment horizontal="center"/>
    </xf>
    <xf numFmtId="0" fontId="31" fillId="0" borderId="0" xfId="58" applyFont="1" applyFill="1" applyAlignment="1">
      <alignment horizontal="center" vertical="center"/>
    </xf>
    <xf numFmtId="0" fontId="30" fillId="0" borderId="0" xfId="58" applyFont="1" applyFill="1" applyAlignment="1">
      <alignment horizontal="center" vertical="center"/>
    </xf>
    <xf numFmtId="168" fontId="30" fillId="0" borderId="0" xfId="58" applyNumberFormat="1" applyFont="1" applyAlignment="1">
      <alignment horizontal="center"/>
    </xf>
    <xf numFmtId="0" fontId="30" fillId="0" borderId="0" xfId="58" applyFont="1" applyAlignment="1">
      <alignment horizontal="center"/>
    </xf>
    <xf numFmtId="0" fontId="30" fillId="0" borderId="0" xfId="59" applyFont="1" applyAlignment="1">
      <alignment horizontal="center"/>
    </xf>
    <xf numFmtId="0" fontId="30" fillId="0" borderId="0" xfId="44" applyFont="1" applyAlignment="1">
      <alignment horizontal="center"/>
    </xf>
    <xf numFmtId="0" fontId="3" fillId="0" borderId="0" xfId="0" applyFont="1" applyBorder="1" applyAlignment="1">
      <alignment horizontal="center" vertical="center" wrapText="1" shrinkToFit="1"/>
    </xf>
    <xf numFmtId="0" fontId="3" fillId="0" borderId="10" xfId="0" applyFont="1" applyBorder="1" applyAlignment="1">
      <alignment horizontal="center" vertical="center" wrapText="1" shrinkToFit="1"/>
    </xf>
    <xf numFmtId="0" fontId="7" fillId="2" borderId="0" xfId="0" applyFont="1" applyFill="1" applyAlignment="1">
      <alignment horizontal="center"/>
    </xf>
    <xf numFmtId="0" fontId="0" fillId="0" borderId="0" xfId="0" applyAlignment="1">
      <alignment horizontal="center"/>
    </xf>
  </cellXfs>
  <cellStyles count="61">
    <cellStyle name="20% - Accent1" xfId="19" builtinId="30" customBuiltin="1"/>
    <cellStyle name="20% - Accent1 2" xfId="46"/>
    <cellStyle name="20% - Accent2" xfId="23" builtinId="34" customBuiltin="1"/>
    <cellStyle name="20% - Accent2 2" xfId="48"/>
    <cellStyle name="20% - Accent3" xfId="27" builtinId="38" customBuiltin="1"/>
    <cellStyle name="20% - Accent3 2" xfId="50"/>
    <cellStyle name="20% - Accent4" xfId="31" builtinId="42" customBuiltin="1"/>
    <cellStyle name="20% - Accent4 2" xfId="52"/>
    <cellStyle name="20% - Accent5" xfId="35" builtinId="46" customBuiltin="1"/>
    <cellStyle name="20% - Accent5 2" xfId="54"/>
    <cellStyle name="20% - Accent6" xfId="39" builtinId="50" customBuiltin="1"/>
    <cellStyle name="20% - Accent6 2" xfId="56"/>
    <cellStyle name="40% - Accent1" xfId="20" builtinId="31" customBuiltin="1"/>
    <cellStyle name="40% - Accent1 2" xfId="47"/>
    <cellStyle name="40% - Accent2" xfId="24" builtinId="35" customBuiltin="1"/>
    <cellStyle name="40% - Accent2 2" xfId="49"/>
    <cellStyle name="40% - Accent3" xfId="28" builtinId="39" customBuiltin="1"/>
    <cellStyle name="40% - Accent3 2" xfId="51"/>
    <cellStyle name="40% - Accent4" xfId="32" builtinId="43" customBuiltin="1"/>
    <cellStyle name="40% - Accent4 2" xfId="53"/>
    <cellStyle name="40% - Accent5" xfId="36" builtinId="47" customBuiltin="1"/>
    <cellStyle name="40% - Accent5 2" xfId="55"/>
    <cellStyle name="40% - Accent6" xfId="40" builtinId="51" customBuiltin="1"/>
    <cellStyle name="40% - Accent6 2" xfId="57"/>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8" builtinId="27" customBuiltin="1"/>
    <cellStyle name="Calculation" xfId="12" builtinId="22" customBuiltin="1"/>
    <cellStyle name="Check Cell" xfId="14" builtinId="23" customBuiltin="1"/>
    <cellStyle name="Explanatory Text" xfId="16" builtinId="53" customBuiltin="1"/>
    <cellStyle name="Good" xfId="7" builtinId="26" customBuiltin="1"/>
    <cellStyle name="Heading 1" xfId="3" builtinId="16" customBuiltin="1"/>
    <cellStyle name="Heading 2" xfId="4" builtinId="17" customBuiltin="1"/>
    <cellStyle name="Heading 3" xfId="5" builtinId="18" customBuiltin="1"/>
    <cellStyle name="Heading 4" xfId="6" builtinId="19" customBuiltin="1"/>
    <cellStyle name="Input" xfId="10" builtinId="20" customBuiltin="1"/>
    <cellStyle name="Linked Cell" xfId="13" builtinId="24" customBuiltin="1"/>
    <cellStyle name="Neutral" xfId="9" builtinId="28" customBuiltin="1"/>
    <cellStyle name="Normal" xfId="0" builtinId="0"/>
    <cellStyle name="Normal 2" xfId="1"/>
    <cellStyle name="Normal 3" xfId="42"/>
    <cellStyle name="Normal 3 2" xfId="59"/>
    <cellStyle name="Normal 4" xfId="44"/>
    <cellStyle name="Normal 5" xfId="58"/>
    <cellStyle name="Note 2" xfId="43"/>
    <cellStyle name="Note 2 2" xfId="60"/>
    <cellStyle name="Note 3" xfId="45"/>
    <cellStyle name="Output" xfId="11" builtinId="21" customBuiltin="1"/>
    <cellStyle name="Title" xfId="2" builtinId="15" customBuiltin="1"/>
    <cellStyle name="Total" xfId="17" builtinId="25" customBuiltin="1"/>
    <cellStyle name="Warning Text" xfId="15" builtinId="11" customBuiltin="1"/>
  </cellStyles>
  <dxfs count="0"/>
  <tableStyles count="0" defaultTableStyle="TableStyleMedium2" defaultPivotStyle="PivotStyleMedium9"/>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13</xdr:col>
      <xdr:colOff>400050</xdr:colOff>
      <xdr:row>96</xdr:row>
      <xdr:rowOff>95250</xdr:rowOff>
    </xdr:to>
    <xdr:sp macro="" textlink="">
      <xdr:nvSpPr>
        <xdr:cNvPr id="4" name="TextBox 3"/>
        <xdr:cNvSpPr txBox="1"/>
      </xdr:nvSpPr>
      <xdr:spPr>
        <a:xfrm>
          <a:off x="0" y="0"/>
          <a:ext cx="8839200" cy="183832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INTRODUCTION:</a:t>
          </a:r>
        </a:p>
        <a:p>
          <a:r>
            <a:rPr lang="en-US" sz="1100">
              <a:solidFill>
                <a:schemeClr val="dk1"/>
              </a:solidFill>
              <a:effectLst/>
              <a:latin typeface="+mn-lt"/>
              <a:ea typeface="+mn-ea"/>
              <a:cs typeface="+mn-cs"/>
            </a:rPr>
            <a:t>This auxiliary tool generates HVAC performance curves in EnergyPlus curve object format.  For each set of performance data entered, Capacity and EIR performance curves are generated, and these curves are generated either as a function of temperature(s) or flow fraction.  The Capacity and EIR of Cooling DX Coils as a function of temperatures require only Biquadratic curve whereas Capacity and EIR of Heating DX Coils may use Biquadratic, Cubic and Quadratic curves. The selection of either of these curves is dependent on availability of performance data. The Capacity and EIR as a function of flow fraction allows either Cubic or Quadratic curve type. The curve types allowed are:</a:t>
          </a:r>
        </a:p>
        <a:p>
          <a:endParaRPr lang="en-US" sz="1100"/>
        </a:p>
        <a:p>
          <a:pPr eaLnBrk="1" fontAlgn="auto" latinLnBrk="0" hangingPunct="1"/>
          <a:r>
            <a:rPr lang="en-US" sz="1100">
              <a:solidFill>
                <a:schemeClr val="dk1"/>
              </a:solidFill>
              <a:effectLst/>
              <a:latin typeface="+mn-lt"/>
              <a:ea typeface="+mn-ea"/>
              <a:cs typeface="+mn-cs"/>
            </a:rPr>
            <a:t>    Cooling Capacity as a Function of Temperatures: Biquadratic Curve</a:t>
          </a:r>
          <a:endParaRPr lang="en-US">
            <a:effectLst/>
          </a:endParaRPr>
        </a:p>
        <a:p>
          <a:r>
            <a:rPr lang="en-US" sz="1100">
              <a:solidFill>
                <a:schemeClr val="dk1"/>
              </a:solidFill>
              <a:effectLst/>
              <a:latin typeface="+mn-lt"/>
              <a:ea typeface="+mn-ea"/>
              <a:cs typeface="+mn-cs"/>
            </a:rPr>
            <a:t>       cCapacity = a0 + a1*X + a2*X^2 + a3*Y + a4*Y^2 + a5*X*Y</a:t>
          </a:r>
          <a:endParaRPr lang="en-US">
            <a:effectLst/>
          </a:endParaRPr>
        </a:p>
        <a:p>
          <a:r>
            <a:rPr lang="en-US" sz="1100">
              <a:solidFill>
                <a:schemeClr val="dk1"/>
              </a:solidFill>
              <a:effectLst/>
              <a:latin typeface="+mn-lt"/>
              <a:ea typeface="+mn-ea"/>
              <a:cs typeface="+mn-cs"/>
            </a:rPr>
            <a:t>    Heating Capacity as a Function of Temperatures: Biquadratic curve</a:t>
          </a:r>
          <a:endParaRPr lang="en-US">
            <a:effectLst/>
          </a:endParaRPr>
        </a:p>
        <a:p>
          <a:r>
            <a:rPr lang="en-US" sz="1100">
              <a:solidFill>
                <a:schemeClr val="dk1"/>
              </a:solidFill>
              <a:effectLst/>
              <a:latin typeface="+mn-lt"/>
              <a:ea typeface="+mn-ea"/>
              <a:cs typeface="+mn-cs"/>
            </a:rPr>
            <a:t>       hCapacity = a0 + a1*X + a2*X^2 + a3*Y + a4*Y^2 + a5*X*Y</a:t>
          </a:r>
          <a:endParaRPr lang="en-US">
            <a:effectLst/>
          </a:endParaRPr>
        </a:p>
        <a:p>
          <a:pPr eaLnBrk="1" fontAlgn="auto" latinLnBrk="0" hangingPunct="1"/>
          <a:r>
            <a:rPr lang="en-US" sz="1100">
              <a:solidFill>
                <a:schemeClr val="dk1"/>
              </a:solidFill>
              <a:effectLst/>
              <a:latin typeface="+mn-lt"/>
              <a:ea typeface="+mn-ea"/>
              <a:cs typeface="+mn-cs"/>
            </a:rPr>
            <a:t>    Heating Capacity as a Function of Temperatures: Cubic Curve</a:t>
          </a:r>
          <a:endParaRPr lang="en-US">
            <a:effectLst/>
          </a:endParaRPr>
        </a:p>
        <a:p>
          <a:pPr eaLnBrk="1" fontAlgn="auto" latinLnBrk="0" hangingPunct="1"/>
          <a:r>
            <a:rPr lang="en-US" sz="1100">
              <a:solidFill>
                <a:schemeClr val="dk1"/>
              </a:solidFill>
              <a:effectLst/>
              <a:latin typeface="+mn-lt"/>
              <a:ea typeface="+mn-ea"/>
              <a:cs typeface="+mn-cs"/>
            </a:rPr>
            <a:t>       hCapacity = a0 + a1*X + a2*X^2 + a3*x^3</a:t>
          </a:r>
          <a:endParaRPr lang="en-US">
            <a:effectLst/>
          </a:endParaRPr>
        </a:p>
        <a:p>
          <a:pPr eaLnBrk="1" fontAlgn="auto" latinLnBrk="0" hangingPunct="1"/>
          <a:r>
            <a:rPr lang="en-US" sz="1100">
              <a:solidFill>
                <a:schemeClr val="dk1"/>
              </a:solidFill>
              <a:effectLst/>
              <a:latin typeface="+mn-lt"/>
              <a:ea typeface="+mn-ea"/>
              <a:cs typeface="+mn-cs"/>
            </a:rPr>
            <a:t>    Energy Input Ratio (EIR) as a Function of Temperatures: Biquadratic Curve</a:t>
          </a:r>
          <a:endParaRPr lang="en-US">
            <a:effectLst/>
          </a:endParaRPr>
        </a:p>
        <a:p>
          <a:r>
            <a:rPr lang="en-US" sz="1100">
              <a:solidFill>
                <a:schemeClr val="dk1"/>
              </a:solidFill>
              <a:effectLst/>
              <a:latin typeface="+mn-lt"/>
              <a:ea typeface="+mn-ea"/>
              <a:cs typeface="+mn-cs"/>
            </a:rPr>
            <a:t>       EIR = a0 + a1*X + a2*X^2 + a3*Y + a4*Y^2 + a5*X*Y </a:t>
          </a:r>
          <a:endParaRPr lang="en-US">
            <a:effectLst/>
          </a:endParaRPr>
        </a:p>
        <a:p>
          <a:pPr eaLnBrk="1" fontAlgn="auto" latinLnBrk="0" hangingPunct="1"/>
          <a:r>
            <a:rPr lang="en-US" sz="1100">
              <a:solidFill>
                <a:schemeClr val="dk1"/>
              </a:solidFill>
              <a:effectLst/>
              <a:latin typeface="+mn-lt"/>
              <a:ea typeface="+mn-ea"/>
              <a:cs typeface="+mn-cs"/>
            </a:rPr>
            <a:t>    Energy Input Ratio (EIR) as a Function of Temperatures: Cubic Curve</a:t>
          </a:r>
          <a:endParaRPr lang="en-US">
            <a:effectLst/>
          </a:endParaRPr>
        </a:p>
        <a:p>
          <a:r>
            <a:rPr lang="en-US" sz="1100">
              <a:solidFill>
                <a:schemeClr val="dk1"/>
              </a:solidFill>
              <a:effectLst/>
              <a:latin typeface="+mn-lt"/>
              <a:ea typeface="+mn-ea"/>
              <a:cs typeface="+mn-cs"/>
            </a:rPr>
            <a:t>       EIR = a0 + a1*X + a2*X^2 + a3*x^3</a:t>
          </a:r>
          <a:endParaRPr lang="en-US">
            <a:effectLst/>
          </a:endParaRPr>
        </a:p>
        <a:p>
          <a:pPr eaLnBrk="1" fontAlgn="auto" latinLnBrk="0" hangingPunct="1"/>
          <a:r>
            <a:rPr lang="en-US" sz="1100">
              <a:solidFill>
                <a:schemeClr val="dk1"/>
              </a:solidFill>
              <a:effectLst/>
              <a:latin typeface="+mn-lt"/>
              <a:ea typeface="+mn-ea"/>
              <a:cs typeface="+mn-cs"/>
            </a:rPr>
            <a:t>    Capacity as a Function of Flow Fraction: Cubic Curve</a:t>
          </a:r>
          <a:endParaRPr lang="en-US">
            <a:effectLst/>
          </a:endParaRPr>
        </a:p>
        <a:p>
          <a:r>
            <a:rPr lang="en-US" sz="1100">
              <a:solidFill>
                <a:schemeClr val="dk1"/>
              </a:solidFill>
              <a:effectLst/>
              <a:latin typeface="+mn-lt"/>
              <a:ea typeface="+mn-ea"/>
              <a:cs typeface="+mn-cs"/>
            </a:rPr>
            <a:t>       EIR = a0 + a1*X + a2*X^2 + a3*x^3</a:t>
          </a:r>
          <a:endParaRPr lang="en-US">
            <a:effectLst/>
          </a:endParaRPr>
        </a:p>
        <a:p>
          <a:pPr eaLnBrk="1" fontAlgn="auto" latinLnBrk="0" hangingPunct="1"/>
          <a:r>
            <a:rPr lang="en-US" sz="1100">
              <a:solidFill>
                <a:schemeClr val="dk1"/>
              </a:solidFill>
              <a:effectLst/>
              <a:latin typeface="+mn-lt"/>
              <a:ea typeface="+mn-ea"/>
              <a:cs typeface="+mn-cs"/>
            </a:rPr>
            <a:t>    Capacity as a Function of Flow Fraction: Quadratic Curve</a:t>
          </a:r>
          <a:endParaRPr lang="en-US">
            <a:effectLst/>
          </a:endParaRPr>
        </a:p>
        <a:p>
          <a:r>
            <a:rPr lang="en-US" sz="1100">
              <a:solidFill>
                <a:schemeClr val="dk1"/>
              </a:solidFill>
              <a:effectLst/>
              <a:latin typeface="+mn-lt"/>
              <a:ea typeface="+mn-ea"/>
              <a:cs typeface="+mn-cs"/>
            </a:rPr>
            <a:t>       EIR = a0 + a1*X + a2*X^2    </a:t>
          </a:r>
          <a:endParaRPr lang="en-US">
            <a:effectLst/>
          </a:endParaRPr>
        </a:p>
        <a:p>
          <a:pPr eaLnBrk="1" fontAlgn="auto" latinLnBrk="0" hangingPunct="1"/>
          <a:r>
            <a:rPr lang="en-US" sz="1100">
              <a:solidFill>
                <a:schemeClr val="dk1"/>
              </a:solidFill>
              <a:effectLst/>
              <a:latin typeface="+mn-lt"/>
              <a:ea typeface="+mn-ea"/>
              <a:cs typeface="+mn-cs"/>
            </a:rPr>
            <a:t>    Energy Input Ratio (EIR) as a Function of Flow Fraction: Cubic Curve</a:t>
          </a:r>
          <a:endParaRPr lang="en-US">
            <a:effectLst/>
          </a:endParaRPr>
        </a:p>
        <a:p>
          <a:r>
            <a:rPr lang="en-US" sz="1100">
              <a:solidFill>
                <a:schemeClr val="dk1"/>
              </a:solidFill>
              <a:effectLst/>
              <a:latin typeface="+mn-lt"/>
              <a:ea typeface="+mn-ea"/>
              <a:cs typeface="+mn-cs"/>
            </a:rPr>
            <a:t>       EIR = a0 + a1*X + a2*X^2 + a3*x^3</a:t>
          </a:r>
          <a:endParaRPr lang="en-US">
            <a:effectLst/>
          </a:endParaRPr>
        </a:p>
        <a:p>
          <a:pPr eaLnBrk="1" fontAlgn="auto" latinLnBrk="0" hangingPunct="1"/>
          <a:r>
            <a:rPr lang="en-US" sz="1100">
              <a:solidFill>
                <a:schemeClr val="dk1"/>
              </a:solidFill>
              <a:effectLst/>
              <a:latin typeface="+mn-lt"/>
              <a:ea typeface="+mn-ea"/>
              <a:cs typeface="+mn-cs"/>
            </a:rPr>
            <a:t>    Energy Input Ratio (EIR) as a Function of Flow Fraction: Quadratic Curve</a:t>
          </a:r>
          <a:endParaRPr lang="en-US">
            <a:effectLst/>
          </a:endParaRPr>
        </a:p>
        <a:p>
          <a:r>
            <a:rPr lang="en-US" sz="1100">
              <a:solidFill>
                <a:schemeClr val="dk1"/>
              </a:solidFill>
              <a:effectLst/>
              <a:latin typeface="+mn-lt"/>
              <a:ea typeface="+mn-ea"/>
              <a:cs typeface="+mn-cs"/>
            </a:rPr>
            <a:t>       EIR = a0 + a1*X + a2*X^2    </a:t>
          </a:r>
          <a:endParaRPr lang="en-US">
            <a:effectLst/>
          </a:endParaRPr>
        </a:p>
        <a:p>
          <a:endParaRPr lang="en-US" sz="1100"/>
        </a:p>
        <a:p>
          <a:r>
            <a:rPr lang="en-US" sz="1100">
              <a:solidFill>
                <a:schemeClr val="dk1"/>
              </a:solidFill>
              <a:effectLst/>
              <a:latin typeface="+mn-lt"/>
              <a:ea typeface="+mn-ea"/>
              <a:cs typeface="+mn-cs"/>
            </a:rPr>
            <a:t>These performance curves as a function of temperatures are generated for a given set of input data at a given speed. The curves as a function of flow fraction are generated at the rated temperature conditions.  The rated test condition is the AHRI standard rated test condition.  The AHRI standard test condition may vary by the equipment type.   For multiple speeds or multiple stage DX Coils, different curve sets can be generated by entering a different set of data for each speed or stage at a time.  This tool can generate the following four curve types: (1) Capacity as a function of temperatures, (2) Capacity as a function of flow fraction, (3) EIR as a function of temperatures, and (4) EIR as a function of flow fraction.  The tool automatically populates the labels for each data inputs variable when users select the Coil Type, Independent Variables, Curve Type, and Units as shown on INPU tab. The labels shown in the</a:t>
          </a:r>
          <a:r>
            <a:rPr lang="en-US" sz="1100" baseline="0">
              <a:solidFill>
                <a:schemeClr val="dk1"/>
              </a:solidFill>
              <a:effectLst/>
              <a:latin typeface="+mn-lt"/>
              <a:ea typeface="+mn-ea"/>
              <a:cs typeface="+mn-cs"/>
            </a:rPr>
            <a:t> INPU tab a</a:t>
          </a:r>
          <a:r>
            <a:rPr lang="en-US" sz="1100">
              <a:solidFill>
                <a:schemeClr val="dk1"/>
              </a:solidFill>
              <a:effectLst/>
              <a:latin typeface="+mn-lt"/>
              <a:ea typeface="+mn-ea"/>
              <a:cs typeface="+mn-cs"/>
            </a:rPr>
            <a:t>re selected for DX Coil to generate capacity and EIR biquadratic curves as function of temperatures. The tool can be used for the DX coil types: Coil:Cooing:DX:SingleSpeed, Coil:Heating:DX:SingleSpeed, Coil:Cooing:DX:TwoSpeed (high and low speed) , CoilPerformance:DX:Cooling (each stage), and any HVAC equipment that use Biquadratic, Cubic or Quadratic curves. To add this flexibility generic input data labels can be populated by selecting "Other" for DX Coil Type input field, located in Cell B3 in the INPU tab.</a:t>
          </a:r>
        </a:p>
        <a:p>
          <a:endParaRPr lang="en-US" sz="1100"/>
        </a:p>
        <a:p>
          <a:r>
            <a:rPr lang="en-US" sz="1100" b="1"/>
            <a:t>INPUTS:</a:t>
          </a:r>
        </a:p>
        <a:p>
          <a:r>
            <a:rPr lang="en-US" sz="1100">
              <a:solidFill>
                <a:schemeClr val="dk1"/>
              </a:solidFill>
              <a:effectLst/>
              <a:latin typeface="+mn-lt"/>
              <a:ea typeface="+mn-ea"/>
              <a:cs typeface="+mn-cs"/>
            </a:rPr>
            <a:t>First step in curve generation is to select appropriate parameters from the dropdown menu.  These inputs define the DX Coil Type, Curve Type, Independent Variable and the Units type. The choices available for each input parameters are described as follows:</a:t>
          </a:r>
        </a:p>
        <a:p>
          <a:r>
            <a:rPr lang="en-US" sz="1100"/>
            <a:t> </a:t>
          </a:r>
        </a:p>
        <a:p>
          <a:r>
            <a:rPr lang="en-US" sz="1100"/>
            <a:t>   DX Coil Type:  the capacity and EIR curves are generated either for </a:t>
          </a:r>
          <a:r>
            <a:rPr lang="en-US" sz="1100" baseline="0">
              <a:solidFill>
                <a:schemeClr val="dk1"/>
              </a:solidFill>
              <a:effectLst/>
              <a:latin typeface="+mn-lt"/>
              <a:ea typeface="+mn-ea"/>
              <a:cs typeface="+mn-cs"/>
            </a:rPr>
            <a:t>cooling, </a:t>
          </a:r>
          <a:r>
            <a:rPr lang="en-US" sz="1100"/>
            <a:t>heating</a:t>
          </a:r>
          <a:r>
            <a:rPr lang="en-US" sz="1100" baseline="0"/>
            <a:t> DX coils or Other.  Other provides a generic data entry </a:t>
          </a:r>
        </a:p>
        <a:p>
          <a:r>
            <a:rPr lang="en-US" sz="1100" baseline="0"/>
            <a:t>   labels than can used for other than DX Coils (e.g. Chillers) which may use the Curve Types listed below. </a:t>
          </a:r>
        </a:p>
        <a:p>
          <a:r>
            <a:rPr lang="en-US" sz="1100"/>
            <a:t>           (1) Cooling</a:t>
          </a:r>
        </a:p>
        <a:p>
          <a:r>
            <a:rPr lang="en-US" sz="1100"/>
            <a:t>           (2) Heating</a:t>
          </a:r>
        </a:p>
        <a:p>
          <a:r>
            <a:rPr lang="en-US" sz="1100"/>
            <a:t>           (3) Other</a:t>
          </a:r>
        </a:p>
        <a:p>
          <a:pPr marL="0" marR="0" indent="0" defTabSz="914400" eaLnBrk="1" fontAlgn="auto" latinLnBrk="0" hangingPunct="1">
            <a:lnSpc>
              <a:spcPct val="100000"/>
            </a:lnSpc>
            <a:spcBef>
              <a:spcPts val="0"/>
            </a:spcBef>
            <a:spcAft>
              <a:spcPts val="0"/>
            </a:spcAft>
            <a:buClrTx/>
            <a:buSzTx/>
            <a:buFontTx/>
            <a:buNone/>
            <a:tabLst/>
            <a:defRPr/>
          </a:pPr>
          <a:r>
            <a:rPr lang="en-US" sz="1100"/>
            <a:t>   Independent Variables:  the </a:t>
          </a:r>
          <a:r>
            <a:rPr lang="en-US" sz="1100">
              <a:solidFill>
                <a:schemeClr val="dk1"/>
              </a:solidFill>
              <a:effectLst/>
              <a:latin typeface="+mn-lt"/>
              <a:ea typeface="+mn-ea"/>
              <a:cs typeface="+mn-cs"/>
            </a:rPr>
            <a:t>curves are generated as a function</a:t>
          </a:r>
          <a:r>
            <a:rPr lang="en-US" sz="1100" baseline="0">
              <a:solidFill>
                <a:schemeClr val="dk1"/>
              </a:solidFill>
              <a:effectLst/>
              <a:latin typeface="+mn-lt"/>
              <a:ea typeface="+mn-ea"/>
              <a:cs typeface="+mn-cs"/>
            </a:rPr>
            <a:t> of temperatures or flow (flow fraction)</a:t>
          </a:r>
          <a:endParaRPr lang="en-US">
            <a:effectLst/>
          </a:endParaRPr>
        </a:p>
        <a:p>
          <a:r>
            <a:rPr lang="en-US" sz="1100"/>
            <a:t>           (1) Temperature</a:t>
          </a:r>
        </a:p>
        <a:p>
          <a:r>
            <a:rPr lang="en-US" sz="1100"/>
            <a:t>           (2) Flow</a:t>
          </a:r>
        </a:p>
        <a:p>
          <a:pPr marL="0" marR="0" indent="0" defTabSz="914400" eaLnBrk="1" fontAlgn="auto" latinLnBrk="0" hangingPunct="1">
            <a:lnSpc>
              <a:spcPct val="100000"/>
            </a:lnSpc>
            <a:spcBef>
              <a:spcPts val="0"/>
            </a:spcBef>
            <a:spcAft>
              <a:spcPts val="0"/>
            </a:spcAft>
            <a:buClrTx/>
            <a:buSzTx/>
            <a:buFontTx/>
            <a:buNone/>
            <a:tabLst/>
            <a:defRPr/>
          </a:pPr>
          <a:r>
            <a:rPr lang="en-US" sz="1100"/>
            <a:t>   Curve Types:  for a given set of data only one of these three curve types can be selected</a:t>
          </a:r>
        </a:p>
        <a:p>
          <a:pPr marL="0" marR="0" indent="0" defTabSz="914400" eaLnBrk="1" fontAlgn="auto" latinLnBrk="0" hangingPunct="1">
            <a:lnSpc>
              <a:spcPct val="100000"/>
            </a:lnSpc>
            <a:spcBef>
              <a:spcPts val="0"/>
            </a:spcBef>
            <a:spcAft>
              <a:spcPts val="0"/>
            </a:spcAft>
            <a:buClrTx/>
            <a:buSzTx/>
            <a:buFontTx/>
            <a:buNone/>
            <a:tabLst/>
            <a:defRPr/>
          </a:pPr>
          <a:r>
            <a:rPr lang="en-US" sz="1100"/>
            <a:t>           (1) Biquadratic</a:t>
          </a:r>
        </a:p>
        <a:p>
          <a:r>
            <a:rPr lang="en-US" sz="1100"/>
            <a:t>           (2) Cubic</a:t>
          </a:r>
        </a:p>
        <a:p>
          <a:r>
            <a:rPr lang="en-US" sz="1100"/>
            <a:t>           (3) Quadratic  </a:t>
          </a:r>
        </a:p>
        <a:p>
          <a:r>
            <a:rPr lang="en-US" sz="1100"/>
            <a:t>   Units: the input data can be either IP or SI </a:t>
          </a:r>
        </a:p>
        <a:p>
          <a:r>
            <a:rPr lang="en-US" sz="1100"/>
            <a:t>           (1) IP</a:t>
          </a:r>
        </a:p>
        <a:p>
          <a:r>
            <a:rPr lang="en-US" sz="1100"/>
            <a:t>           (2) SI</a:t>
          </a:r>
        </a:p>
        <a:p>
          <a:endParaRPr lang="en-US" sz="1100"/>
        </a:p>
        <a:p>
          <a:r>
            <a:rPr lang="en-US" sz="1100">
              <a:solidFill>
                <a:schemeClr val="dk1"/>
              </a:solidFill>
              <a:effectLst/>
              <a:latin typeface="+mn-lt"/>
              <a:ea typeface="+mn-ea"/>
              <a:cs typeface="+mn-cs"/>
            </a:rPr>
            <a:t>Once these input parameters are specified the VBA code reads in the values and automatically populate labels for each of the independent and dependent variables applicable. The labels guide users to enter the data for each variable in the corresponding worksheet input range.   Two sets of input data are required for curve generation: Rated, and Performance Data.   </a:t>
          </a:r>
        </a:p>
        <a:p>
          <a:r>
            <a:rPr lang="en-US" sz="1100">
              <a:solidFill>
                <a:schemeClr val="dk1"/>
              </a:solidFill>
              <a:effectLst/>
              <a:latin typeface="+mn-lt"/>
              <a:ea typeface="+mn-ea"/>
              <a:cs typeface="+mn-cs"/>
            </a:rPr>
            <a:t> </a:t>
          </a:r>
        </a:p>
        <a:p>
          <a:r>
            <a:rPr lang="en-US" sz="1100" b="1">
              <a:solidFill>
                <a:schemeClr val="dk1"/>
              </a:solidFill>
              <a:effectLst/>
              <a:latin typeface="+mn-lt"/>
              <a:ea typeface="+mn-ea"/>
              <a:cs typeface="+mn-cs"/>
            </a:rPr>
            <a:t>Rated Data:</a:t>
          </a:r>
          <a:r>
            <a:rPr lang="en-US" sz="1100">
              <a:solidFill>
                <a:schemeClr val="dk1"/>
              </a:solidFill>
              <a:effectLst/>
              <a:latin typeface="+mn-lt"/>
              <a:ea typeface="+mn-ea"/>
              <a:cs typeface="+mn-cs"/>
            </a:rPr>
            <a:t> The rated data is used to normalize the performance data set. The rated test conditions depend on the equipment type.  For DX cooling coil the rated test temperatures are 67°F (19.4°C) indoor coil entering wet bulb, 80°F (26.7°C) indoor coil entering dry bulb and 95°F (35.0°C) outdoor coil entering dry bulb air temperatures per ANSI/AHRI Std. 210/240 (AHRI 2008).  If the rated test temperatures are different from the values populated by the tool, then the user may enter the applicable values manually.  The capacity should be gross and the power should be condenser fan power plus compressor power at the rated condition. The rated data can be one of the performance data points depending on the speed or stage. The rated data set is entered in the Cells range “B11:E11” of the INPUT tab.</a:t>
          </a:r>
        </a:p>
        <a:p>
          <a:r>
            <a:rPr lang="en-US" sz="1100">
              <a:solidFill>
                <a:schemeClr val="dk1"/>
              </a:solidFill>
              <a:effectLst/>
              <a:latin typeface="+mn-lt"/>
              <a:ea typeface="+mn-ea"/>
              <a:cs typeface="+mn-cs"/>
            </a:rPr>
            <a:t> </a:t>
          </a:r>
        </a:p>
        <a:p>
          <a:r>
            <a:rPr lang="en-US" sz="1100" b="1">
              <a:solidFill>
                <a:schemeClr val="dk1"/>
              </a:solidFill>
              <a:effectLst/>
              <a:latin typeface="+mn-lt"/>
              <a:ea typeface="+mn-ea"/>
              <a:cs typeface="+mn-cs"/>
            </a:rPr>
            <a:t>Performance Data:</a:t>
          </a:r>
          <a:r>
            <a:rPr lang="en-US" sz="1100">
              <a:solidFill>
                <a:schemeClr val="dk1"/>
              </a:solidFill>
              <a:effectLst/>
              <a:latin typeface="+mn-lt"/>
              <a:ea typeface="+mn-ea"/>
              <a:cs typeface="+mn-cs"/>
            </a:rPr>
            <a:t>  The performance data set entered depends on the type of independent variables selected.  To generate performance curves (e.g. DX Coils) as a function of temperatures require the capacity and power data at various combinations of indoor and outdoor coil entering air temperatures at a rated supply air flow rate. And performance curves (e.g. DX Coil) as function of flow fraction require  capacity and power data at various supply air flow rates and rated indoor and outdoor coil entering air (or water) temperatures. The performance data set may include the rated data as one of the data points. The performance data set is entered starting from row 15 and down for each of the variables as shown in the INPUT tab.</a:t>
          </a:r>
        </a:p>
        <a:p>
          <a:r>
            <a:rPr lang="en-US" sz="1100">
              <a:solidFill>
                <a:schemeClr val="dk1"/>
              </a:solidFill>
              <a:effectLst/>
              <a:latin typeface="+mn-lt"/>
              <a:ea typeface="+mn-ea"/>
              <a:cs typeface="+mn-cs"/>
            </a:rPr>
            <a:t> </a:t>
          </a:r>
        </a:p>
        <a:p>
          <a:r>
            <a:rPr lang="en-US" sz="1100">
              <a:solidFill>
                <a:schemeClr val="dk1"/>
              </a:solidFill>
              <a:effectLst/>
              <a:latin typeface="+mn-lt"/>
              <a:ea typeface="+mn-ea"/>
              <a:cs typeface="+mn-cs"/>
            </a:rPr>
            <a:t>The total cooling and heating capacities must be the gross values, i.e., not corrected for the supply fan heating effect.  Also the input power has to exclude the supply air fan power, but includes other miscellaneous power inputs (e.g. control panel power).   If manufacturers provide the total power, then the supply fan power must be deducted from the former.  If the capacity and power data are normalized values, then enter 1.0 for rated gross capacity and power in the </a:t>
          </a:r>
          <a:r>
            <a:rPr lang="en-US" sz="1100" b="1" i="1">
              <a:solidFill>
                <a:schemeClr val="dk1"/>
              </a:solidFill>
              <a:effectLst/>
              <a:latin typeface="+mn-lt"/>
              <a:ea typeface="+mn-ea"/>
              <a:cs typeface="+mn-cs"/>
            </a:rPr>
            <a:t>Rated Data</a:t>
          </a:r>
          <a:r>
            <a:rPr lang="en-US" sz="1100">
              <a:solidFill>
                <a:schemeClr val="dk1"/>
              </a:solidFill>
              <a:effectLst/>
              <a:latin typeface="+mn-lt"/>
              <a:ea typeface="+mn-ea"/>
              <a:cs typeface="+mn-cs"/>
            </a:rPr>
            <a:t> input Cells range (B11:E11 in the INPUT tab). Two samples of performance and rated data set are included in the “</a:t>
          </a:r>
          <a:r>
            <a:rPr lang="en-US" sz="1100" b="1">
              <a:solidFill>
                <a:schemeClr val="dk1"/>
              </a:solidFill>
              <a:effectLst/>
              <a:latin typeface="+mn-lt"/>
              <a:ea typeface="+mn-ea"/>
              <a:cs typeface="+mn-cs"/>
            </a:rPr>
            <a:t>INSTRUCTION</a:t>
          </a:r>
          <a:r>
            <a:rPr lang="en-US" sz="1100">
              <a:solidFill>
                <a:schemeClr val="dk1"/>
              </a:solidFill>
              <a:effectLst/>
              <a:latin typeface="+mn-lt"/>
              <a:ea typeface="+mn-ea"/>
              <a:cs typeface="+mn-cs"/>
            </a:rPr>
            <a:t>” tab. </a:t>
          </a:r>
        </a:p>
        <a:p>
          <a:endParaRPr lang="en-US" sz="1100"/>
        </a:p>
        <a:p>
          <a:r>
            <a:rPr lang="en-US" sz="1100" b="1"/>
            <a:t>OUTPUTS:</a:t>
          </a:r>
        </a:p>
        <a:p>
          <a:r>
            <a:rPr lang="en-US" sz="1100">
              <a:solidFill>
                <a:schemeClr val="dk1"/>
              </a:solidFill>
              <a:effectLst/>
              <a:latin typeface="+mn-lt"/>
              <a:ea typeface="+mn-ea"/>
              <a:cs typeface="+mn-cs"/>
            </a:rPr>
            <a:t>The generated curves are post-processed to make sure that the curve value is 1.0 at the rated condition.  The post processing is applied only if the curve value at the rated condition deviates by a value less than or equal to 0.025 and the performance data set contains the rated</a:t>
          </a:r>
          <a:r>
            <a:rPr lang="en-US" sz="1100" baseline="0">
              <a:solidFill>
                <a:schemeClr val="dk1"/>
              </a:solidFill>
              <a:effectLst/>
              <a:latin typeface="+mn-lt"/>
              <a:ea typeface="+mn-ea"/>
              <a:cs typeface="+mn-cs"/>
            </a:rPr>
            <a:t> data set as one the data points</a:t>
          </a:r>
          <a:r>
            <a:rPr lang="en-US" sz="1100">
              <a:solidFill>
                <a:schemeClr val="dk1"/>
              </a:solidFill>
              <a:effectLst/>
              <a:latin typeface="+mn-lt"/>
              <a:ea typeface="+mn-ea"/>
              <a:cs typeface="+mn-cs"/>
            </a:rPr>
            <a:t>. The coefficients of these curves are displayed on the "OUTPUT" tab. Besides the curve coefficients, the goodness of curve fit indicator statistical parameters </a:t>
          </a:r>
          <a:r>
            <a:rPr lang="en-US" sz="1100" i="1">
              <a:solidFill>
                <a:schemeClr val="dk1"/>
              </a:solidFill>
              <a:effectLst/>
              <a:latin typeface="+mn-lt"/>
              <a:ea typeface="+mn-ea"/>
              <a:cs typeface="+mn-cs"/>
            </a:rPr>
            <a:t>R</a:t>
          </a:r>
          <a:r>
            <a:rPr lang="en-US" sz="1100" i="1" baseline="30000">
              <a:solidFill>
                <a:schemeClr val="dk1"/>
              </a:solidFill>
              <a:effectLst/>
              <a:latin typeface="+mn-lt"/>
              <a:ea typeface="+mn-ea"/>
              <a:cs typeface="+mn-cs"/>
            </a:rPr>
            <a:t>2</a:t>
          </a:r>
          <a:r>
            <a:rPr lang="en-US" sz="1100">
              <a:solidFill>
                <a:schemeClr val="dk1"/>
              </a:solidFill>
              <a:effectLst/>
              <a:latin typeface="+mn-lt"/>
              <a:ea typeface="+mn-ea"/>
              <a:cs typeface="+mn-cs"/>
            </a:rPr>
            <a:t> is also reported.  The </a:t>
          </a:r>
          <a:r>
            <a:rPr lang="en-US" sz="1100" i="1">
              <a:solidFill>
                <a:schemeClr val="dk1"/>
              </a:solidFill>
              <a:effectLst/>
              <a:latin typeface="+mn-lt"/>
              <a:ea typeface="+mn-ea"/>
              <a:cs typeface="+mn-cs"/>
            </a:rPr>
            <a:t>R</a:t>
          </a:r>
          <a:r>
            <a:rPr lang="en-US" sz="1100" i="1" baseline="30000">
              <a:solidFill>
                <a:schemeClr val="dk1"/>
              </a:solidFill>
              <a:effectLst/>
              <a:latin typeface="+mn-lt"/>
              <a:ea typeface="+mn-ea"/>
              <a:cs typeface="+mn-cs"/>
            </a:rPr>
            <a:t>2</a:t>
          </a:r>
          <a:r>
            <a:rPr lang="en-US" sz="1100">
              <a:solidFill>
                <a:schemeClr val="dk1"/>
              </a:solidFill>
              <a:effectLst/>
              <a:latin typeface="+mn-lt"/>
              <a:ea typeface="+mn-ea"/>
              <a:cs typeface="+mn-cs"/>
            </a:rPr>
            <a:t> is the ratio of the sum of the squared deviations of the curve fit values from the mean to the sum of the squared deviations of the original data from the mean.  R squared values closer to 1.0 are good.  The tool has an option to save the curve object into an output file by running another macro (SaveCurveObjToTextFile).  The option output files and the directory path are specified in the OUTPUT tab in cells C2 and C3, respectively. If the output file name and path are left blank, then default names, "EplusCurveObjects.IDF" and the local directory where the tool is located are used.  The local directory where the tool is located must not have write restriction.</a:t>
          </a:r>
        </a:p>
        <a:p>
          <a:endParaRPr lang="en-US" sz="1100"/>
        </a:p>
        <a:p>
          <a:r>
            <a:rPr lang="en-US" sz="1100" b="1">
              <a:solidFill>
                <a:schemeClr val="dk1"/>
              </a:solidFill>
              <a:effectLst/>
              <a:latin typeface="+mn-lt"/>
              <a:ea typeface="+mn-ea"/>
              <a:cs typeface="+mn-cs"/>
            </a:rPr>
            <a:t>ERROR MESSAGE:</a:t>
          </a:r>
          <a:endParaRPr lang="en-US" sz="1100">
            <a:solidFill>
              <a:schemeClr val="dk1"/>
            </a:solidFill>
            <a:effectLst/>
            <a:latin typeface="+mn-lt"/>
            <a:ea typeface="+mn-ea"/>
            <a:cs typeface="+mn-cs"/>
          </a:endParaRPr>
        </a:p>
        <a:p>
          <a:r>
            <a:rPr lang="en-US" sz="1100">
              <a:solidFill>
                <a:schemeClr val="dk1"/>
              </a:solidFill>
              <a:effectLst/>
              <a:latin typeface="+mn-lt"/>
              <a:ea typeface="+mn-ea"/>
              <a:cs typeface="+mn-cs"/>
            </a:rPr>
            <a:t>Reports progress of the curve object generation calculation starting from reading input data to error massage output file "errorCurveObjects.txt".  This error message file provides information whether the tool run successfully or not.  Also points to the step where problem occurred.</a:t>
          </a:r>
        </a:p>
        <a:p>
          <a:r>
            <a:rPr lang="en-US" sz="1100">
              <a:solidFill>
                <a:schemeClr val="dk1"/>
              </a:solidFill>
              <a:effectLst/>
              <a:latin typeface="+mn-lt"/>
              <a:ea typeface="+mn-ea"/>
              <a:cs typeface="+mn-cs"/>
            </a:rPr>
            <a:t> </a:t>
          </a:r>
        </a:p>
        <a:p>
          <a:r>
            <a:rPr lang="en-US" sz="1100" b="1">
              <a:solidFill>
                <a:schemeClr val="dk1"/>
              </a:solidFill>
              <a:effectLst/>
              <a:latin typeface="+mn-lt"/>
              <a:ea typeface="+mn-ea"/>
              <a:cs typeface="+mn-cs"/>
            </a:rPr>
            <a:t>Notes:</a:t>
          </a:r>
          <a:endParaRPr lang="en-US" sz="1100">
            <a:solidFill>
              <a:schemeClr val="dk1"/>
            </a:solidFill>
            <a:effectLst/>
            <a:latin typeface="+mn-lt"/>
            <a:ea typeface="+mn-ea"/>
            <a:cs typeface="+mn-cs"/>
          </a:endParaRPr>
        </a:p>
        <a:p>
          <a:r>
            <a:rPr lang="en-US" sz="1100">
              <a:solidFill>
                <a:schemeClr val="dk1"/>
              </a:solidFill>
              <a:effectLst/>
              <a:latin typeface="+mn-lt"/>
              <a:ea typeface="+mn-ea"/>
              <a:cs typeface="+mn-cs"/>
            </a:rPr>
            <a:t>This tool has been tested on Ubuntu 11 using Libre Office and Macintosh 2011 machines.  But the button for running the macro may not be imported properly on Ubuntu hence users may have to run the tool manually by selecting "</a:t>
          </a:r>
          <a:r>
            <a:rPr lang="en-US" sz="1100" b="1">
              <a:solidFill>
                <a:schemeClr val="dk1"/>
              </a:solidFill>
              <a:effectLst/>
              <a:latin typeface="+mn-lt"/>
              <a:ea typeface="+mn-ea"/>
              <a:cs typeface="+mn-cs"/>
            </a:rPr>
            <a:t>ManageCurveFit</a:t>
          </a:r>
          <a:r>
            <a:rPr lang="en-US" sz="1100">
              <a:solidFill>
                <a:schemeClr val="dk1"/>
              </a:solidFill>
              <a:effectLst/>
              <a:latin typeface="+mn-lt"/>
              <a:ea typeface="+mn-ea"/>
              <a:cs typeface="+mn-cs"/>
            </a:rPr>
            <a:t>" and “</a:t>
          </a:r>
          <a:r>
            <a:rPr lang="en-US" sz="1100" b="1">
              <a:solidFill>
                <a:schemeClr val="dk1"/>
              </a:solidFill>
              <a:effectLst/>
              <a:latin typeface="+mn-lt"/>
              <a:ea typeface="+mn-ea"/>
              <a:cs typeface="+mn-cs"/>
            </a:rPr>
            <a:t>SaveCurveObjToTextFile</a:t>
          </a:r>
          <a:r>
            <a:rPr lang="en-US" sz="1100">
              <a:solidFill>
                <a:schemeClr val="dk1"/>
              </a:solidFill>
              <a:effectLst/>
              <a:latin typeface="+mn-lt"/>
              <a:ea typeface="+mn-ea"/>
              <a:cs typeface="+mn-cs"/>
            </a:rPr>
            <a:t>” subroutine from the macro list.</a:t>
          </a:r>
        </a:p>
        <a:p>
          <a:r>
            <a:rPr lang="en-US" sz="1100">
              <a:solidFill>
                <a:schemeClr val="dk1"/>
              </a:solidFill>
              <a:effectLst/>
              <a:latin typeface="+mn-lt"/>
              <a:ea typeface="+mn-ea"/>
              <a:cs typeface="+mn-cs"/>
            </a:rPr>
            <a:t> </a:t>
          </a:r>
        </a:p>
        <a:p>
          <a:r>
            <a:rPr lang="en-US" sz="1100" b="1">
              <a:solidFill>
                <a:schemeClr val="dk1"/>
              </a:solidFill>
              <a:effectLst/>
              <a:latin typeface="+mn-lt"/>
              <a:ea typeface="+mn-ea"/>
              <a:cs typeface="+mn-cs"/>
            </a:rPr>
            <a:t>References:</a:t>
          </a:r>
          <a:endParaRPr lang="en-US" sz="1100">
            <a:solidFill>
              <a:schemeClr val="dk1"/>
            </a:solidFill>
            <a:effectLst/>
            <a:latin typeface="+mn-lt"/>
            <a:ea typeface="+mn-ea"/>
            <a:cs typeface="+mn-cs"/>
          </a:endParaRPr>
        </a:p>
        <a:p>
          <a:r>
            <a:rPr lang="en-US" sz="1100">
              <a:solidFill>
                <a:schemeClr val="dk1"/>
              </a:solidFill>
              <a:effectLst/>
              <a:latin typeface="+mn-lt"/>
              <a:ea typeface="+mn-ea"/>
              <a:cs typeface="+mn-cs"/>
            </a:rPr>
            <a:t>AHRI 2008. ANSI/AHRI Standard 210/240: 2008 Standard for Performance Rating of Unitary Air-Conditioning &amp; Air-Source Heat Pump Equipment. Arlington, VA: Air-Conditioning, Heating, and Refrigeration Institute.</a:t>
          </a:r>
        </a:p>
        <a:p>
          <a:endParaRPr lang="en-US" sz="1100">
            <a:solidFill>
              <a:schemeClr val="dk1"/>
            </a:solidFill>
            <a:effectLst/>
            <a:latin typeface="+mn-lt"/>
            <a:ea typeface="+mn-ea"/>
            <a:cs typeface="+mn-cs"/>
          </a:endParaRPr>
        </a:p>
        <a:p>
          <a:r>
            <a:rPr lang="en-US" sz="1100">
              <a:solidFill>
                <a:schemeClr val="dk1"/>
              </a:solidFill>
              <a:effectLst/>
              <a:latin typeface="+mn-lt"/>
              <a:ea typeface="+mn-ea"/>
              <a:cs typeface="+mn-cs"/>
            </a:rPr>
            <a:t>AHRI 2007. ANSI/AHRI Standard 340/360: 2007 Standard for Performance Rating of Commercial and Industrial Unitary Air-Conditioning and Heat Pump Equipment. Arlington, VA: Air-Conditioning, Heating, and Refrigeration Institute.</a:t>
          </a:r>
        </a:p>
        <a:p>
          <a:endParaRPr lang="en-US" sz="1100">
            <a:solidFill>
              <a:schemeClr val="dk1"/>
            </a:solidFill>
            <a:effectLst/>
            <a:latin typeface="+mn-lt"/>
            <a:ea typeface="+mn-ea"/>
            <a:cs typeface="+mn-cs"/>
          </a:endParaRPr>
        </a:p>
        <a:p>
          <a:r>
            <a:rPr lang="en-US" sz="1100">
              <a:solidFill>
                <a:schemeClr val="dk1"/>
              </a:solidFill>
              <a:effectLst/>
              <a:latin typeface="+mn-lt"/>
              <a:ea typeface="+mn-ea"/>
              <a:cs typeface="+mn-cs"/>
            </a:rPr>
            <a:t> AHRI 2003. ANSI/AHRI Standard 550/590: 2003 Standard for Performance Rating Of Water -Chilling Packages Using The Vapor Compression Cycle. Arlington, VA: Air-Conditioning, Heating, and Refrigeration Institute.</a:t>
          </a:r>
        </a:p>
      </xdr:txBody>
    </xdr:sp>
    <xdr:clientData/>
  </xdr:twoCellAnchor>
  <xdr:twoCellAnchor editAs="oneCell">
    <xdr:from>
      <xdr:col>1</xdr:col>
      <xdr:colOff>0</xdr:colOff>
      <xdr:row>100</xdr:row>
      <xdr:rowOff>0</xdr:rowOff>
    </xdr:from>
    <xdr:to>
      <xdr:col>11</xdr:col>
      <xdr:colOff>1048872</xdr:colOff>
      <xdr:row>123</xdr:row>
      <xdr:rowOff>74236</xdr:rowOff>
    </xdr:to>
    <xdr:pic>
      <xdr:nvPicPr>
        <xdr:cNvPr id="5" name="Picture 4"/>
        <xdr:cNvPicPr>
          <a:picLocks noChangeAspect="1"/>
        </xdr:cNvPicPr>
      </xdr:nvPicPr>
      <xdr:blipFill>
        <a:blip xmlns:r="http://schemas.openxmlformats.org/officeDocument/2006/relationships" r:embed="rId1"/>
        <a:stretch>
          <a:fillRect/>
        </a:stretch>
      </xdr:blipFill>
      <xdr:spPr>
        <a:xfrm>
          <a:off x="609600" y="18907125"/>
          <a:ext cx="7897347" cy="4455736"/>
        </a:xfrm>
        <a:prstGeom prst="rect">
          <a:avLst/>
        </a:prstGeom>
      </xdr:spPr>
    </xdr:pic>
    <xdr:clientData/>
  </xdr:twoCellAnchor>
  <xdr:twoCellAnchor editAs="oneCell">
    <xdr:from>
      <xdr:col>1</xdr:col>
      <xdr:colOff>133350</xdr:colOff>
      <xdr:row>223</xdr:row>
      <xdr:rowOff>19050</xdr:rowOff>
    </xdr:from>
    <xdr:to>
      <xdr:col>11</xdr:col>
      <xdr:colOff>533400</xdr:colOff>
      <xdr:row>237</xdr:row>
      <xdr:rowOff>176869</xdr:rowOff>
    </xdr:to>
    <xdr:pic>
      <xdr:nvPicPr>
        <xdr:cNvPr id="6" name="Picture 5"/>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742950" y="42281475"/>
          <a:ext cx="8963025" cy="282481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106680</xdr:colOff>
          <xdr:row>3</xdr:row>
          <xdr:rowOff>38100</xdr:rowOff>
        </xdr:from>
        <xdr:to>
          <xdr:col>4</xdr:col>
          <xdr:colOff>1409700</xdr:colOff>
          <xdr:row>5</xdr:row>
          <xdr:rowOff>121920</xdr:rowOff>
        </xdr:to>
        <xdr:sp macro="" textlink="">
          <xdr:nvSpPr>
            <xdr:cNvPr id="2068" name="Button 20" hidden="1">
              <a:extLst>
                <a:ext uri="{63B3BB69-23CF-44E3-9099-C40C66FF867C}">
                  <a14:compatExt spid="_x0000_s2068"/>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1600" b="1" i="0" u="none" strike="noStrike" baseline="0">
                  <a:solidFill>
                    <a:srgbClr val="0000FF"/>
                  </a:solidFill>
                  <a:latin typeface="Calibri"/>
                </a:rPr>
                <a:t>Press To Generate Curves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7620</xdr:colOff>
          <xdr:row>4</xdr:row>
          <xdr:rowOff>0</xdr:rowOff>
        </xdr:from>
        <xdr:to>
          <xdr:col>6</xdr:col>
          <xdr:colOff>297180</xdr:colOff>
          <xdr:row>6</xdr:row>
          <xdr:rowOff>0</xdr:rowOff>
        </xdr:to>
        <xdr:sp macro="" textlink="">
          <xdr:nvSpPr>
            <xdr:cNvPr id="3074" name="Button 2" hidden="1">
              <a:extLst>
                <a:ext uri="{63B3BB69-23CF-44E3-9099-C40C66FF867C}">
                  <a14:compatExt spid="_x0000_s3074"/>
                </a:ext>
              </a:extLst>
            </xdr:cNvPr>
            <xdr:cNvSpPr/>
          </xdr:nvSpPr>
          <xdr:spPr>
            <a:xfrm>
              <a:off x="0" y="0"/>
              <a:ext cx="0" cy="0"/>
            </a:xfrm>
            <a:prstGeom prst="rect">
              <a:avLst/>
            </a:prstGeom>
          </xdr:spPr>
          <xdr:txBody>
            <a:bodyPr vertOverflow="clip" wrap="square" lIns="36576" tIns="36576" rIns="36576" bIns="36576" anchor="ctr" upright="1"/>
            <a:lstStyle/>
            <a:p>
              <a:pPr algn="ctr" rtl="0">
                <a:defRPr sz="1000"/>
              </a:pPr>
              <a:r>
                <a:rPr lang="en-US" sz="1400" b="1" i="0" u="none" strike="noStrike" baseline="0">
                  <a:solidFill>
                    <a:srgbClr val="0000FF"/>
                  </a:solidFill>
                  <a:latin typeface="Calibri"/>
                </a:rPr>
                <a:t>Save Curve Objects to a File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B98:V279"/>
  <sheetViews>
    <sheetView topLeftCell="A88" zoomScaleNormal="100" workbookViewId="0">
      <selection activeCell="B162" sqref="B162:F162"/>
    </sheetView>
  </sheetViews>
  <sheetFormatPr defaultRowHeight="14.4" x14ac:dyDescent="0.3"/>
  <cols>
    <col min="1" max="3" width="9.109375" customWidth="1"/>
    <col min="4" max="4" width="10.33203125" customWidth="1"/>
    <col min="5" max="5" width="9.109375" customWidth="1"/>
    <col min="8" max="10" width="10.44140625" customWidth="1"/>
    <col min="11" max="11" width="15.44140625" customWidth="1"/>
    <col min="12" max="12" width="16.109375" customWidth="1"/>
    <col min="13" max="13" width="13.44140625" customWidth="1"/>
    <col min="14" max="14" width="11.88671875" customWidth="1"/>
    <col min="16" max="17" width="10.33203125" customWidth="1"/>
    <col min="18" max="18" width="11.6640625" customWidth="1"/>
    <col min="19" max="19" width="12.44140625" customWidth="1"/>
    <col min="20" max="22" width="10.33203125" customWidth="1"/>
  </cols>
  <sheetData>
    <row r="98" spans="2:7" ht="18" x14ac:dyDescent="0.35">
      <c r="B98" s="30" t="s">
        <v>17</v>
      </c>
      <c r="C98" s="30"/>
    </row>
    <row r="99" spans="2:7" x14ac:dyDescent="0.3">
      <c r="B99" s="31" t="s">
        <v>18</v>
      </c>
      <c r="C99" s="31"/>
      <c r="D99" s="31"/>
      <c r="E99" s="31"/>
      <c r="F99" s="31"/>
      <c r="G99" s="31"/>
    </row>
    <row r="125" spans="2:22" x14ac:dyDescent="0.3">
      <c r="B125" s="32"/>
      <c r="C125" s="32"/>
      <c r="D125" s="32"/>
      <c r="E125" s="32"/>
      <c r="F125" s="32"/>
      <c r="G125" s="32"/>
      <c r="P125" s="31" t="s">
        <v>19</v>
      </c>
      <c r="Q125" s="33"/>
      <c r="R125" s="34">
        <v>510</v>
      </c>
      <c r="S125" t="s">
        <v>20</v>
      </c>
    </row>
    <row r="126" spans="2:22" x14ac:dyDescent="0.3">
      <c r="B126" s="32"/>
      <c r="C126" s="32"/>
      <c r="D126" s="32"/>
      <c r="E126" s="32"/>
      <c r="F126" s="32"/>
      <c r="G126" s="32"/>
    </row>
    <row r="127" spans="2:22" x14ac:dyDescent="0.3">
      <c r="H127" s="31" t="s">
        <v>21</v>
      </c>
      <c r="I127" s="31"/>
      <c r="J127" s="31"/>
      <c r="K127" s="31"/>
      <c r="L127" s="31"/>
      <c r="M127" s="31"/>
      <c r="N127" s="32"/>
      <c r="P127" s="31" t="s">
        <v>22</v>
      </c>
      <c r="Q127" s="31"/>
      <c r="R127" s="31"/>
      <c r="S127" s="31"/>
      <c r="T127" s="31"/>
      <c r="U127" s="31"/>
      <c r="V127" s="31"/>
    </row>
    <row r="128" spans="2:22" x14ac:dyDescent="0.3">
      <c r="B128" s="31" t="s">
        <v>23</v>
      </c>
      <c r="C128" s="31"/>
      <c r="D128" s="31"/>
      <c r="E128" s="31"/>
      <c r="H128" s="31" t="s">
        <v>24</v>
      </c>
      <c r="I128" s="31"/>
      <c r="J128" s="31"/>
      <c r="K128" s="31"/>
      <c r="L128" s="31"/>
      <c r="M128" s="31"/>
      <c r="P128" s="31" t="s">
        <v>25</v>
      </c>
      <c r="Q128" s="31"/>
      <c r="R128" s="31"/>
      <c r="S128" s="31"/>
      <c r="T128" s="31"/>
      <c r="U128" s="31"/>
    </row>
    <row r="129" spans="2:22" x14ac:dyDescent="0.3">
      <c r="M129" s="82" t="s">
        <v>26</v>
      </c>
      <c r="N129" s="82"/>
      <c r="T129" t="s">
        <v>26</v>
      </c>
      <c r="V129" t="s">
        <v>26</v>
      </c>
    </row>
    <row r="130" spans="2:22" ht="15" thickBot="1" x14ac:dyDescent="0.35">
      <c r="B130" s="35" t="s">
        <v>27</v>
      </c>
      <c r="C130" s="35" t="s">
        <v>47</v>
      </c>
      <c r="D130" s="35" t="s">
        <v>41</v>
      </c>
      <c r="E130" s="35" t="s">
        <v>48</v>
      </c>
      <c r="F130" s="35" t="s">
        <v>44</v>
      </c>
      <c r="H130" s="35" t="s">
        <v>27</v>
      </c>
      <c r="I130" s="35" t="s">
        <v>42</v>
      </c>
      <c r="J130" s="35" t="s">
        <v>41</v>
      </c>
      <c r="K130" s="35" t="s">
        <v>43</v>
      </c>
      <c r="L130" s="35" t="s">
        <v>44</v>
      </c>
      <c r="M130" s="35" t="s">
        <v>45</v>
      </c>
      <c r="N130" s="35" t="s">
        <v>46</v>
      </c>
      <c r="P130" s="35" t="s">
        <v>27</v>
      </c>
      <c r="Q130" s="35" t="s">
        <v>47</v>
      </c>
      <c r="R130" s="35" t="s">
        <v>41</v>
      </c>
      <c r="S130" s="35" t="s">
        <v>48</v>
      </c>
      <c r="T130" s="35" t="s">
        <v>49</v>
      </c>
      <c r="U130" s="35" t="s">
        <v>46</v>
      </c>
      <c r="V130" s="35" t="s">
        <v>50</v>
      </c>
    </row>
    <row r="131" spans="2:22" ht="15" thickTop="1" x14ac:dyDescent="0.3">
      <c r="B131">
        <v>800</v>
      </c>
      <c r="C131">
        <v>72</v>
      </c>
      <c r="D131">
        <v>85</v>
      </c>
      <c r="E131">
        <v>43.6</v>
      </c>
      <c r="F131">
        <v>3.29</v>
      </c>
      <c r="H131" s="36">
        <v>1100</v>
      </c>
      <c r="I131" s="36">
        <v>72</v>
      </c>
      <c r="J131" s="36">
        <v>85</v>
      </c>
      <c r="K131" s="37">
        <v>46.9</v>
      </c>
      <c r="L131" s="36">
        <v>3.41</v>
      </c>
      <c r="M131" s="59">
        <f>$K131+($R$125*3.4121/1000)</f>
        <v>48.640170999999995</v>
      </c>
      <c r="N131" s="60">
        <f>$L131-$R$125/1000</f>
        <v>2.9000000000000004</v>
      </c>
      <c r="P131" s="36">
        <v>800</v>
      </c>
      <c r="Q131" s="36">
        <v>67</v>
      </c>
      <c r="R131" s="36">
        <v>95</v>
      </c>
      <c r="S131" s="38">
        <v>37.200000000000003</v>
      </c>
      <c r="T131" s="39">
        <f>$S131+($R$125*3.412/1000)</f>
        <v>38.94012</v>
      </c>
      <c r="U131" s="38">
        <v>3.41</v>
      </c>
      <c r="V131" s="40">
        <f>$U131-$R$125/1000</f>
        <v>2.9000000000000004</v>
      </c>
    </row>
    <row r="132" spans="2:22" x14ac:dyDescent="0.3">
      <c r="B132">
        <v>800</v>
      </c>
      <c r="C132">
        <v>67</v>
      </c>
      <c r="D132">
        <v>85</v>
      </c>
      <c r="E132">
        <v>39.4</v>
      </c>
      <c r="F132">
        <v>3.19</v>
      </c>
      <c r="H132" s="36">
        <v>1100</v>
      </c>
      <c r="I132" s="36">
        <v>67</v>
      </c>
      <c r="J132" s="36">
        <v>85</v>
      </c>
      <c r="K132" s="37">
        <v>42.5</v>
      </c>
      <c r="L132" s="36">
        <v>3.31</v>
      </c>
      <c r="M132" s="59">
        <f t="shared" ref="M132:M150" si="0">$K132+($R$125*3.4121/1000)</f>
        <v>44.240171000000004</v>
      </c>
      <c r="N132" s="60">
        <f t="shared" ref="N132:N150" si="1">$L132-$R$125/1000</f>
        <v>2.8</v>
      </c>
      <c r="P132" s="36">
        <v>900</v>
      </c>
      <c r="Q132" s="36">
        <v>67</v>
      </c>
      <c r="R132" s="36">
        <v>95</v>
      </c>
      <c r="S132" s="38">
        <v>38.299999999999997</v>
      </c>
      <c r="T132" s="39">
        <f t="shared" ref="T132:T135" si="2">$S132+($R$125*3.412/1000)</f>
        <v>40.040119999999995</v>
      </c>
      <c r="U132" s="38">
        <v>3.46</v>
      </c>
      <c r="V132" s="40">
        <f t="shared" ref="V132:V135" si="3">$U132-$R$125/1000</f>
        <v>2.95</v>
      </c>
    </row>
    <row r="133" spans="2:22" x14ac:dyDescent="0.3">
      <c r="B133">
        <v>800</v>
      </c>
      <c r="C133">
        <v>63</v>
      </c>
      <c r="D133">
        <v>85</v>
      </c>
      <c r="E133">
        <v>36.4</v>
      </c>
      <c r="F133">
        <v>3.11</v>
      </c>
      <c r="H133" s="36">
        <v>1100</v>
      </c>
      <c r="I133" s="36">
        <v>63</v>
      </c>
      <c r="J133" s="36">
        <v>85</v>
      </c>
      <c r="K133" s="37">
        <v>39.299999999999997</v>
      </c>
      <c r="L133" s="36">
        <v>3.23</v>
      </c>
      <c r="M133" s="59">
        <f t="shared" si="0"/>
        <v>41.040171000000001</v>
      </c>
      <c r="N133" s="60">
        <f t="shared" si="1"/>
        <v>2.7199999999999998</v>
      </c>
      <c r="P133" s="36">
        <v>990</v>
      </c>
      <c r="Q133" s="36">
        <v>67</v>
      </c>
      <c r="R133" s="36">
        <v>95</v>
      </c>
      <c r="S133" s="38">
        <v>39.200000000000003</v>
      </c>
      <c r="T133" s="39">
        <f t="shared" si="2"/>
        <v>40.94012</v>
      </c>
      <c r="U133" s="38">
        <v>3.5</v>
      </c>
      <c r="V133" s="40">
        <f t="shared" si="3"/>
        <v>2.99</v>
      </c>
    </row>
    <row r="134" spans="2:22" x14ac:dyDescent="0.3">
      <c r="B134">
        <v>800</v>
      </c>
      <c r="C134">
        <v>62</v>
      </c>
      <c r="D134">
        <v>85</v>
      </c>
      <c r="E134">
        <v>35.6</v>
      </c>
      <c r="F134">
        <v>3.09</v>
      </c>
      <c r="H134" s="36">
        <v>1100</v>
      </c>
      <c r="I134" s="36">
        <v>62</v>
      </c>
      <c r="J134" s="36">
        <v>85</v>
      </c>
      <c r="K134" s="37">
        <v>38.6</v>
      </c>
      <c r="L134" s="36">
        <v>3.21</v>
      </c>
      <c r="M134" s="59">
        <f t="shared" si="0"/>
        <v>40.340170999999998</v>
      </c>
      <c r="N134" s="60">
        <f t="shared" si="1"/>
        <v>2.7</v>
      </c>
      <c r="P134" s="36">
        <v>1100</v>
      </c>
      <c r="Q134" s="36">
        <v>67</v>
      </c>
      <c r="R134" s="36">
        <v>95</v>
      </c>
      <c r="S134" s="38">
        <v>40</v>
      </c>
      <c r="T134" s="39">
        <f t="shared" si="2"/>
        <v>41.740119999999997</v>
      </c>
      <c r="U134" s="38">
        <v>3.54</v>
      </c>
      <c r="V134" s="40">
        <f t="shared" si="3"/>
        <v>3.0300000000000002</v>
      </c>
    </row>
    <row r="135" spans="2:22" x14ac:dyDescent="0.3">
      <c r="B135">
        <v>800</v>
      </c>
      <c r="C135">
        <v>57</v>
      </c>
      <c r="D135">
        <v>85</v>
      </c>
      <c r="E135">
        <v>32.4</v>
      </c>
      <c r="F135" s="41">
        <v>3</v>
      </c>
      <c r="H135" s="36">
        <v>1100</v>
      </c>
      <c r="I135" s="36">
        <v>57</v>
      </c>
      <c r="J135" s="36">
        <v>85</v>
      </c>
      <c r="K135" s="37">
        <v>37</v>
      </c>
      <c r="L135" s="36">
        <v>3.17</v>
      </c>
      <c r="M135" s="59">
        <f t="shared" si="0"/>
        <v>38.740171000000004</v>
      </c>
      <c r="N135" s="60">
        <f t="shared" si="1"/>
        <v>2.66</v>
      </c>
      <c r="P135" s="36">
        <v>1225</v>
      </c>
      <c r="Q135" s="36">
        <v>67</v>
      </c>
      <c r="R135" s="36">
        <v>95</v>
      </c>
      <c r="S135" s="38">
        <v>40.799999999999997</v>
      </c>
      <c r="T135" s="39">
        <f t="shared" si="2"/>
        <v>42.540119999999995</v>
      </c>
      <c r="U135" s="38">
        <v>3.58</v>
      </c>
      <c r="V135" s="40">
        <f t="shared" si="3"/>
        <v>3.0700000000000003</v>
      </c>
    </row>
    <row r="136" spans="2:22" x14ac:dyDescent="0.3">
      <c r="B136">
        <v>900</v>
      </c>
      <c r="C136">
        <v>72</v>
      </c>
      <c r="D136">
        <v>85</v>
      </c>
      <c r="E136">
        <v>44.9</v>
      </c>
      <c r="F136">
        <v>3.33</v>
      </c>
      <c r="H136" s="36">
        <v>1100</v>
      </c>
      <c r="I136" s="36">
        <v>72</v>
      </c>
      <c r="J136" s="36">
        <v>95</v>
      </c>
      <c r="K136" s="37">
        <v>44.2</v>
      </c>
      <c r="L136" s="36">
        <v>3.66</v>
      </c>
      <c r="M136" s="59">
        <f t="shared" si="0"/>
        <v>45.940171000000007</v>
      </c>
      <c r="N136" s="60">
        <f t="shared" si="1"/>
        <v>3.1500000000000004</v>
      </c>
    </row>
    <row r="137" spans="2:22" x14ac:dyDescent="0.3">
      <c r="B137">
        <v>900</v>
      </c>
      <c r="C137">
        <v>67</v>
      </c>
      <c r="D137">
        <v>85</v>
      </c>
      <c r="E137">
        <v>40.6</v>
      </c>
      <c r="F137">
        <v>3.23</v>
      </c>
      <c r="H137" s="36">
        <v>1100</v>
      </c>
      <c r="I137" s="36">
        <v>67</v>
      </c>
      <c r="J137" s="36">
        <v>95</v>
      </c>
      <c r="K137" s="37">
        <v>40</v>
      </c>
      <c r="L137" s="36">
        <v>3.54</v>
      </c>
      <c r="M137" s="59">
        <f t="shared" si="0"/>
        <v>41.740171000000004</v>
      </c>
      <c r="N137" s="60">
        <f t="shared" si="1"/>
        <v>3.0300000000000002</v>
      </c>
    </row>
    <row r="138" spans="2:22" x14ac:dyDescent="0.3">
      <c r="B138">
        <v>900</v>
      </c>
      <c r="C138">
        <v>63</v>
      </c>
      <c r="D138">
        <v>85</v>
      </c>
      <c r="E138">
        <v>37.6</v>
      </c>
      <c r="F138">
        <v>3.16</v>
      </c>
      <c r="H138" s="36">
        <v>1100</v>
      </c>
      <c r="I138" s="36">
        <v>63</v>
      </c>
      <c r="J138" s="36">
        <v>95</v>
      </c>
      <c r="K138" s="37">
        <v>37</v>
      </c>
      <c r="L138" s="36">
        <v>3.45</v>
      </c>
      <c r="M138" s="59">
        <f t="shared" si="0"/>
        <v>38.740171000000004</v>
      </c>
      <c r="N138" s="60">
        <f t="shared" si="1"/>
        <v>2.9400000000000004</v>
      </c>
    </row>
    <row r="139" spans="2:22" x14ac:dyDescent="0.3">
      <c r="B139">
        <v>900</v>
      </c>
      <c r="C139">
        <v>62</v>
      </c>
      <c r="D139">
        <v>85</v>
      </c>
      <c r="E139">
        <v>36.700000000000003</v>
      </c>
      <c r="F139">
        <v>3.13</v>
      </c>
      <c r="H139" s="36">
        <v>1100</v>
      </c>
      <c r="I139" s="36">
        <v>62</v>
      </c>
      <c r="J139" s="36">
        <v>95</v>
      </c>
      <c r="K139" s="37">
        <v>36.200000000000003</v>
      </c>
      <c r="L139" s="36">
        <v>3.43</v>
      </c>
      <c r="M139" s="59">
        <f t="shared" si="0"/>
        <v>37.940171000000007</v>
      </c>
      <c r="N139" s="60">
        <f t="shared" si="1"/>
        <v>2.92</v>
      </c>
    </row>
    <row r="140" spans="2:22" x14ac:dyDescent="0.3">
      <c r="B140">
        <v>900</v>
      </c>
      <c r="C140">
        <v>57</v>
      </c>
      <c r="D140">
        <v>85</v>
      </c>
      <c r="E140">
        <v>34.1</v>
      </c>
      <c r="F140">
        <v>3.07</v>
      </c>
      <c r="H140" s="36">
        <v>1100</v>
      </c>
      <c r="I140" s="36">
        <v>57</v>
      </c>
      <c r="J140" s="36">
        <v>95</v>
      </c>
      <c r="K140" s="37">
        <v>35.200000000000003</v>
      </c>
      <c r="L140" s="36">
        <v>3.39</v>
      </c>
      <c r="M140" s="59">
        <f t="shared" si="0"/>
        <v>36.940171000000007</v>
      </c>
      <c r="N140" s="60">
        <f t="shared" si="1"/>
        <v>2.88</v>
      </c>
      <c r="R140" s="81" t="s">
        <v>28</v>
      </c>
      <c r="S140" s="81"/>
      <c r="T140" s="81"/>
    </row>
    <row r="141" spans="2:22" x14ac:dyDescent="0.3">
      <c r="B141">
        <v>990</v>
      </c>
      <c r="C141">
        <v>72</v>
      </c>
      <c r="D141">
        <v>85</v>
      </c>
      <c r="E141">
        <v>45.9</v>
      </c>
      <c r="F141">
        <v>3.37</v>
      </c>
      <c r="H141" s="36">
        <v>1100</v>
      </c>
      <c r="I141" s="36">
        <v>72</v>
      </c>
      <c r="J141" s="36">
        <v>105</v>
      </c>
      <c r="K141" s="37">
        <v>41.4</v>
      </c>
      <c r="L141" s="36">
        <v>3.9</v>
      </c>
      <c r="M141" s="59">
        <f t="shared" si="0"/>
        <v>43.140170999999995</v>
      </c>
      <c r="N141" s="60">
        <f t="shared" si="1"/>
        <v>3.3899999999999997</v>
      </c>
      <c r="R141" s="79" t="s">
        <v>29</v>
      </c>
      <c r="S141" s="79"/>
      <c r="T141" s="79"/>
    </row>
    <row r="142" spans="2:22" x14ac:dyDescent="0.3">
      <c r="B142">
        <v>990</v>
      </c>
      <c r="C142">
        <v>67</v>
      </c>
      <c r="D142">
        <v>85</v>
      </c>
      <c r="E142">
        <v>41.6</v>
      </c>
      <c r="F142">
        <v>3.27</v>
      </c>
      <c r="H142" s="36">
        <v>1100</v>
      </c>
      <c r="I142" s="36">
        <v>67</v>
      </c>
      <c r="J142" s="36">
        <v>105</v>
      </c>
      <c r="K142" s="37">
        <v>37.5</v>
      </c>
      <c r="L142" s="36">
        <v>3.76</v>
      </c>
      <c r="M142" s="59">
        <f t="shared" si="0"/>
        <v>39.240171000000004</v>
      </c>
      <c r="N142" s="60">
        <f t="shared" si="1"/>
        <v>3.25</v>
      </c>
      <c r="R142" s="80"/>
      <c r="S142" s="80"/>
      <c r="T142" s="80"/>
    </row>
    <row r="143" spans="2:22" ht="15" thickBot="1" x14ac:dyDescent="0.35">
      <c r="B143">
        <v>990</v>
      </c>
      <c r="C143">
        <v>63</v>
      </c>
      <c r="D143">
        <v>85</v>
      </c>
      <c r="E143">
        <v>38.5</v>
      </c>
      <c r="F143">
        <v>3.19</v>
      </c>
      <c r="H143" s="36">
        <v>1100</v>
      </c>
      <c r="I143" s="36">
        <v>63</v>
      </c>
      <c r="J143" s="36">
        <v>105</v>
      </c>
      <c r="K143" s="37">
        <v>34.5</v>
      </c>
      <c r="L143" s="36">
        <v>3.65</v>
      </c>
      <c r="M143" s="59">
        <f t="shared" si="0"/>
        <v>36.240171000000004</v>
      </c>
      <c r="N143" s="60">
        <f t="shared" si="1"/>
        <v>3.1399999999999997</v>
      </c>
      <c r="R143" s="42" t="s">
        <v>27</v>
      </c>
      <c r="S143" s="42" t="s">
        <v>48</v>
      </c>
      <c r="T143" s="42" t="s">
        <v>46</v>
      </c>
    </row>
    <row r="144" spans="2:22" ht="15" thickTop="1" x14ac:dyDescent="0.3">
      <c r="B144">
        <v>990</v>
      </c>
      <c r="C144">
        <v>62</v>
      </c>
      <c r="D144">
        <v>85</v>
      </c>
      <c r="E144">
        <v>37.6</v>
      </c>
      <c r="F144">
        <v>3.17</v>
      </c>
      <c r="H144" s="36">
        <v>1100</v>
      </c>
      <c r="I144" s="36">
        <v>62</v>
      </c>
      <c r="J144" s="36">
        <v>105</v>
      </c>
      <c r="K144" s="37">
        <v>33.9</v>
      </c>
      <c r="L144" s="36">
        <v>3.63</v>
      </c>
      <c r="M144" s="59">
        <f t="shared" si="0"/>
        <v>35.640170999999995</v>
      </c>
      <c r="N144" s="60">
        <f t="shared" si="1"/>
        <v>3.12</v>
      </c>
      <c r="R144" s="61">
        <f>P131</f>
        <v>800</v>
      </c>
      <c r="S144" s="59">
        <f>T131</f>
        <v>38.94012</v>
      </c>
      <c r="T144" s="59">
        <f>V131</f>
        <v>2.9000000000000004</v>
      </c>
    </row>
    <row r="145" spans="2:20" x14ac:dyDescent="0.3">
      <c r="B145">
        <v>990</v>
      </c>
      <c r="C145">
        <v>57</v>
      </c>
      <c r="D145">
        <v>85</v>
      </c>
      <c r="E145">
        <v>35.5</v>
      </c>
      <c r="F145">
        <v>3.12</v>
      </c>
      <c r="H145" s="36">
        <v>1100</v>
      </c>
      <c r="I145" s="36">
        <v>57</v>
      </c>
      <c r="J145" s="36">
        <v>105</v>
      </c>
      <c r="K145" s="37">
        <v>33.4</v>
      </c>
      <c r="L145" s="36">
        <v>3.61</v>
      </c>
      <c r="M145" s="59">
        <f t="shared" si="0"/>
        <v>35.140170999999995</v>
      </c>
      <c r="N145" s="60">
        <f t="shared" si="1"/>
        <v>3.0999999999999996</v>
      </c>
      <c r="R145" s="61">
        <f>P132</f>
        <v>900</v>
      </c>
      <c r="S145" s="59">
        <f>T132</f>
        <v>40.040119999999995</v>
      </c>
      <c r="T145" s="59">
        <f>V132</f>
        <v>2.95</v>
      </c>
    </row>
    <row r="146" spans="2:20" x14ac:dyDescent="0.3">
      <c r="B146">
        <v>1100</v>
      </c>
      <c r="C146">
        <v>72</v>
      </c>
      <c r="D146">
        <v>85</v>
      </c>
      <c r="E146">
        <v>46.9</v>
      </c>
      <c r="F146">
        <v>3.41</v>
      </c>
      <c r="H146" s="36">
        <v>1100</v>
      </c>
      <c r="I146" s="36">
        <v>72</v>
      </c>
      <c r="J146" s="36">
        <v>115</v>
      </c>
      <c r="K146" s="37">
        <v>38.700000000000003</v>
      </c>
      <c r="L146" s="36">
        <v>4.13</v>
      </c>
      <c r="M146" s="59">
        <f t="shared" si="0"/>
        <v>40.440171000000007</v>
      </c>
      <c r="N146" s="60">
        <f t="shared" si="1"/>
        <v>3.62</v>
      </c>
      <c r="R146" s="61">
        <f>P133</f>
        <v>990</v>
      </c>
      <c r="S146" s="59">
        <f>T133</f>
        <v>40.94012</v>
      </c>
      <c r="T146" s="59">
        <f>V133</f>
        <v>2.99</v>
      </c>
    </row>
    <row r="147" spans="2:20" x14ac:dyDescent="0.3">
      <c r="B147">
        <v>1100</v>
      </c>
      <c r="C147">
        <v>67</v>
      </c>
      <c r="D147">
        <v>85</v>
      </c>
      <c r="E147">
        <v>42.5</v>
      </c>
      <c r="F147">
        <v>3.31</v>
      </c>
      <c r="H147" s="36">
        <v>1100</v>
      </c>
      <c r="I147" s="36">
        <v>67</v>
      </c>
      <c r="J147" s="36">
        <v>115</v>
      </c>
      <c r="K147" s="37">
        <v>34.9</v>
      </c>
      <c r="L147" s="36">
        <v>3.97</v>
      </c>
      <c r="M147" s="59">
        <f t="shared" si="0"/>
        <v>36.640170999999995</v>
      </c>
      <c r="N147" s="60">
        <f t="shared" si="1"/>
        <v>3.46</v>
      </c>
      <c r="R147" s="61">
        <f>P134</f>
        <v>1100</v>
      </c>
      <c r="S147" s="59">
        <f>T134</f>
        <v>41.740119999999997</v>
      </c>
      <c r="T147" s="59">
        <f>V134</f>
        <v>3.0300000000000002</v>
      </c>
    </row>
    <row r="148" spans="2:20" x14ac:dyDescent="0.3">
      <c r="B148">
        <v>1100</v>
      </c>
      <c r="C148">
        <v>63</v>
      </c>
      <c r="D148">
        <v>85</v>
      </c>
      <c r="E148">
        <v>39.299999999999997</v>
      </c>
      <c r="F148">
        <v>3.23</v>
      </c>
      <c r="H148" s="36">
        <v>1100</v>
      </c>
      <c r="I148" s="36">
        <v>63</v>
      </c>
      <c r="J148" s="36">
        <v>115</v>
      </c>
      <c r="K148" s="37">
        <v>32.1</v>
      </c>
      <c r="L148" s="36">
        <v>3.85</v>
      </c>
      <c r="M148" s="59">
        <f t="shared" si="0"/>
        <v>33.840170999999998</v>
      </c>
      <c r="N148" s="60">
        <f t="shared" si="1"/>
        <v>3.34</v>
      </c>
      <c r="R148" s="61">
        <f>P135</f>
        <v>1225</v>
      </c>
      <c r="S148" s="59">
        <f>T135</f>
        <v>42.540119999999995</v>
      </c>
      <c r="T148" s="59">
        <f>V135</f>
        <v>3.0700000000000003</v>
      </c>
    </row>
    <row r="149" spans="2:20" x14ac:dyDescent="0.3">
      <c r="B149">
        <v>1100</v>
      </c>
      <c r="C149">
        <v>62</v>
      </c>
      <c r="D149">
        <v>85</v>
      </c>
      <c r="E149">
        <v>38.6</v>
      </c>
      <c r="F149">
        <v>3.21</v>
      </c>
      <c r="H149" s="36">
        <v>1100</v>
      </c>
      <c r="I149" s="36">
        <v>62</v>
      </c>
      <c r="J149" s="36">
        <v>115</v>
      </c>
      <c r="K149" s="37">
        <v>31.6</v>
      </c>
      <c r="L149" s="36">
        <v>3.82</v>
      </c>
      <c r="M149" s="59">
        <f t="shared" si="0"/>
        <v>33.340170999999998</v>
      </c>
      <c r="N149" s="60">
        <f t="shared" si="1"/>
        <v>3.3099999999999996</v>
      </c>
    </row>
    <row r="150" spans="2:20" x14ac:dyDescent="0.3">
      <c r="B150">
        <v>1100</v>
      </c>
      <c r="C150">
        <v>57</v>
      </c>
      <c r="D150">
        <v>85</v>
      </c>
      <c r="E150">
        <v>37</v>
      </c>
      <c r="F150">
        <v>3.17</v>
      </c>
      <c r="H150" s="36">
        <v>1100</v>
      </c>
      <c r="I150" s="36">
        <v>57</v>
      </c>
      <c r="J150" s="36">
        <v>115</v>
      </c>
      <c r="K150" s="37">
        <v>31.5</v>
      </c>
      <c r="L150" s="36">
        <v>3.82</v>
      </c>
      <c r="M150" s="59">
        <f t="shared" si="0"/>
        <v>33.240171000000004</v>
      </c>
      <c r="N150" s="60">
        <f t="shared" si="1"/>
        <v>3.3099999999999996</v>
      </c>
    </row>
    <row r="151" spans="2:20" x14ac:dyDescent="0.3">
      <c r="B151">
        <v>1225</v>
      </c>
      <c r="C151">
        <v>72</v>
      </c>
      <c r="D151">
        <v>85</v>
      </c>
      <c r="E151">
        <v>47.8</v>
      </c>
      <c r="F151">
        <v>3.44</v>
      </c>
    </row>
    <row r="152" spans="2:20" x14ac:dyDescent="0.3">
      <c r="B152">
        <v>1225</v>
      </c>
      <c r="C152">
        <v>67</v>
      </c>
      <c r="D152">
        <v>85</v>
      </c>
      <c r="E152">
        <v>43.4</v>
      </c>
      <c r="F152">
        <v>3.35</v>
      </c>
    </row>
    <row r="153" spans="2:20" x14ac:dyDescent="0.3">
      <c r="B153">
        <v>1225</v>
      </c>
      <c r="C153">
        <v>63</v>
      </c>
      <c r="D153">
        <v>85</v>
      </c>
      <c r="E153">
        <v>40.200000000000003</v>
      </c>
      <c r="F153">
        <v>3.27</v>
      </c>
    </row>
    <row r="154" spans="2:20" x14ac:dyDescent="0.3">
      <c r="B154">
        <v>1225</v>
      </c>
      <c r="C154">
        <v>62</v>
      </c>
      <c r="D154">
        <v>85</v>
      </c>
      <c r="E154">
        <v>39.4</v>
      </c>
      <c r="F154">
        <v>3.25</v>
      </c>
      <c r="I154" s="81" t="s">
        <v>28</v>
      </c>
      <c r="J154" s="81"/>
      <c r="K154" s="81"/>
      <c r="L154" s="81"/>
      <c r="Q154" s="41"/>
    </row>
    <row r="155" spans="2:20" x14ac:dyDescent="0.3">
      <c r="B155">
        <v>1225</v>
      </c>
      <c r="C155">
        <v>57</v>
      </c>
      <c r="D155">
        <v>85</v>
      </c>
      <c r="E155">
        <v>38.5</v>
      </c>
      <c r="F155">
        <v>3.23</v>
      </c>
      <c r="I155" s="79" t="s">
        <v>30</v>
      </c>
      <c r="J155" s="79"/>
      <c r="K155" s="79"/>
      <c r="L155" s="79"/>
      <c r="Q155" s="44"/>
    </row>
    <row r="156" spans="2:20" x14ac:dyDescent="0.3">
      <c r="B156">
        <v>800</v>
      </c>
      <c r="C156">
        <v>72</v>
      </c>
      <c r="D156">
        <v>95</v>
      </c>
      <c r="E156">
        <v>41.2</v>
      </c>
      <c r="F156">
        <v>3.53</v>
      </c>
      <c r="I156" s="80"/>
      <c r="J156" s="80"/>
      <c r="K156" s="80"/>
      <c r="L156" s="80"/>
      <c r="Q156" s="45"/>
    </row>
    <row r="157" spans="2:20" ht="15" thickBot="1" x14ac:dyDescent="0.35">
      <c r="B157">
        <v>800</v>
      </c>
      <c r="C157">
        <v>67</v>
      </c>
      <c r="D157">
        <v>95</v>
      </c>
      <c r="E157">
        <v>37.200000000000003</v>
      </c>
      <c r="F157">
        <v>3.41</v>
      </c>
      <c r="I157" s="46" t="s">
        <v>47</v>
      </c>
      <c r="J157" s="46" t="s">
        <v>41</v>
      </c>
      <c r="K157" s="46" t="s">
        <v>48</v>
      </c>
      <c r="L157" s="46" t="s">
        <v>51</v>
      </c>
      <c r="Q157" s="47"/>
    </row>
    <row r="158" spans="2:20" ht="15" thickTop="1" x14ac:dyDescent="0.3">
      <c r="B158">
        <v>800</v>
      </c>
      <c r="C158">
        <v>63</v>
      </c>
      <c r="D158">
        <v>95</v>
      </c>
      <c r="E158">
        <v>34.299999999999997</v>
      </c>
      <c r="F158">
        <v>3.32</v>
      </c>
      <c r="I158" s="43">
        <f>I131</f>
        <v>72</v>
      </c>
      <c r="J158" s="43">
        <f t="shared" ref="J158" si="4">J131</f>
        <v>85</v>
      </c>
      <c r="K158" s="39">
        <f>M131</f>
        <v>48.640170999999995</v>
      </c>
      <c r="L158" s="39">
        <f>N131</f>
        <v>2.9000000000000004</v>
      </c>
    </row>
    <row r="159" spans="2:20" x14ac:dyDescent="0.3">
      <c r="B159">
        <v>800</v>
      </c>
      <c r="C159">
        <v>62</v>
      </c>
      <c r="D159">
        <v>95</v>
      </c>
      <c r="E159">
        <v>33.6</v>
      </c>
      <c r="F159">
        <v>3.29</v>
      </c>
      <c r="I159" s="43">
        <f t="shared" ref="I159:J159" si="5">I132</f>
        <v>67</v>
      </c>
      <c r="J159" s="43">
        <f t="shared" si="5"/>
        <v>85</v>
      </c>
      <c r="K159" s="39">
        <f t="shared" ref="K159:K177" si="6">M132</f>
        <v>44.240171000000004</v>
      </c>
      <c r="L159" s="39">
        <f t="shared" ref="L159:L177" si="7">N132</f>
        <v>2.8</v>
      </c>
    </row>
    <row r="160" spans="2:20" x14ac:dyDescent="0.3">
      <c r="B160">
        <v>800</v>
      </c>
      <c r="C160">
        <v>57</v>
      </c>
      <c r="D160">
        <v>95</v>
      </c>
      <c r="E160">
        <v>30.9</v>
      </c>
      <c r="F160">
        <v>3.21</v>
      </c>
      <c r="I160" s="43">
        <f t="shared" ref="I160:J160" si="8">I133</f>
        <v>63</v>
      </c>
      <c r="J160" s="43">
        <f t="shared" si="8"/>
        <v>85</v>
      </c>
      <c r="K160" s="39">
        <f t="shared" si="6"/>
        <v>41.040171000000001</v>
      </c>
      <c r="L160" s="39">
        <f t="shared" si="7"/>
        <v>2.7199999999999998</v>
      </c>
    </row>
    <row r="161" spans="2:12" x14ac:dyDescent="0.3">
      <c r="B161">
        <v>900</v>
      </c>
      <c r="C161">
        <v>72</v>
      </c>
      <c r="D161">
        <v>95</v>
      </c>
      <c r="E161">
        <v>42.4</v>
      </c>
      <c r="F161">
        <v>3.58</v>
      </c>
      <c r="I161" s="43">
        <f t="shared" ref="I161:J161" si="9">I134</f>
        <v>62</v>
      </c>
      <c r="J161" s="43">
        <f t="shared" si="9"/>
        <v>85</v>
      </c>
      <c r="K161" s="39">
        <f t="shared" si="6"/>
        <v>40.340170999999998</v>
      </c>
      <c r="L161" s="39">
        <f t="shared" si="7"/>
        <v>2.7</v>
      </c>
    </row>
    <row r="162" spans="2:12" x14ac:dyDescent="0.3">
      <c r="B162">
        <v>900</v>
      </c>
      <c r="C162">
        <v>67</v>
      </c>
      <c r="D162">
        <v>95</v>
      </c>
      <c r="E162">
        <v>38.299999999999997</v>
      </c>
      <c r="F162">
        <v>3.46</v>
      </c>
      <c r="I162" s="43">
        <f t="shared" ref="I162:J162" si="10">I135</f>
        <v>57</v>
      </c>
      <c r="J162" s="43">
        <f t="shared" si="10"/>
        <v>85</v>
      </c>
      <c r="K162" s="39">
        <f t="shared" si="6"/>
        <v>38.740171000000004</v>
      </c>
      <c r="L162" s="39">
        <f t="shared" si="7"/>
        <v>2.66</v>
      </c>
    </row>
    <row r="163" spans="2:12" x14ac:dyDescent="0.3">
      <c r="B163">
        <v>900</v>
      </c>
      <c r="C163">
        <v>63</v>
      </c>
      <c r="D163">
        <v>95</v>
      </c>
      <c r="E163">
        <v>35.4</v>
      </c>
      <c r="F163">
        <v>3.37</v>
      </c>
      <c r="I163" s="43">
        <f t="shared" ref="I163:J163" si="11">I136</f>
        <v>72</v>
      </c>
      <c r="J163" s="43">
        <f t="shared" si="11"/>
        <v>95</v>
      </c>
      <c r="K163" s="39">
        <f t="shared" si="6"/>
        <v>45.940171000000007</v>
      </c>
      <c r="L163" s="39">
        <f t="shared" si="7"/>
        <v>3.1500000000000004</v>
      </c>
    </row>
    <row r="164" spans="2:12" x14ac:dyDescent="0.3">
      <c r="B164">
        <v>900</v>
      </c>
      <c r="C164">
        <v>62</v>
      </c>
      <c r="D164">
        <v>95</v>
      </c>
      <c r="E164">
        <v>34.6</v>
      </c>
      <c r="F164">
        <v>3.34</v>
      </c>
      <c r="I164" s="43">
        <f t="shared" ref="I164:J164" si="12">I137</f>
        <v>67</v>
      </c>
      <c r="J164" s="43">
        <f t="shared" si="12"/>
        <v>95</v>
      </c>
      <c r="K164" s="39">
        <f t="shared" si="6"/>
        <v>41.740171000000004</v>
      </c>
      <c r="L164" s="39">
        <f t="shared" si="7"/>
        <v>3.0300000000000002</v>
      </c>
    </row>
    <row r="165" spans="2:12" x14ac:dyDescent="0.3">
      <c r="B165">
        <v>900</v>
      </c>
      <c r="C165">
        <v>57</v>
      </c>
      <c r="D165">
        <v>95</v>
      </c>
      <c r="E165">
        <v>32.5</v>
      </c>
      <c r="F165">
        <v>3.28</v>
      </c>
      <c r="I165" s="43">
        <f t="shared" ref="I165:J165" si="13">I138</f>
        <v>63</v>
      </c>
      <c r="J165" s="43">
        <f t="shared" si="13"/>
        <v>95</v>
      </c>
      <c r="K165" s="39">
        <f t="shared" si="6"/>
        <v>38.740171000000004</v>
      </c>
      <c r="L165" s="39">
        <f t="shared" si="7"/>
        <v>2.9400000000000004</v>
      </c>
    </row>
    <row r="166" spans="2:12" x14ac:dyDescent="0.3">
      <c r="B166">
        <v>990</v>
      </c>
      <c r="C166">
        <v>72</v>
      </c>
      <c r="D166">
        <v>95</v>
      </c>
      <c r="E166">
        <v>43.2</v>
      </c>
      <c r="F166">
        <v>3.62</v>
      </c>
      <c r="I166" s="43">
        <f t="shared" ref="I166:J166" si="14">I139</f>
        <v>62</v>
      </c>
      <c r="J166" s="43">
        <f t="shared" si="14"/>
        <v>95</v>
      </c>
      <c r="K166" s="39">
        <f t="shared" si="6"/>
        <v>37.940171000000007</v>
      </c>
      <c r="L166" s="39">
        <f t="shared" si="7"/>
        <v>2.92</v>
      </c>
    </row>
    <row r="167" spans="2:12" x14ac:dyDescent="0.3">
      <c r="B167">
        <v>990</v>
      </c>
      <c r="C167">
        <v>67</v>
      </c>
      <c r="D167">
        <v>95</v>
      </c>
      <c r="E167">
        <v>39.200000000000003</v>
      </c>
      <c r="F167">
        <v>3.5</v>
      </c>
      <c r="I167" s="43">
        <f t="shared" ref="I167:J167" si="15">I140</f>
        <v>57</v>
      </c>
      <c r="J167" s="43">
        <f t="shared" si="15"/>
        <v>95</v>
      </c>
      <c r="K167" s="39">
        <f t="shared" si="6"/>
        <v>36.940171000000007</v>
      </c>
      <c r="L167" s="39">
        <f t="shared" si="7"/>
        <v>2.88</v>
      </c>
    </row>
    <row r="168" spans="2:12" x14ac:dyDescent="0.3">
      <c r="B168">
        <v>990</v>
      </c>
      <c r="C168">
        <v>63</v>
      </c>
      <c r="D168">
        <v>95</v>
      </c>
      <c r="E168">
        <v>36.200000000000003</v>
      </c>
      <c r="F168">
        <v>3.41</v>
      </c>
      <c r="I168" s="43">
        <f t="shared" ref="I168:J168" si="16">I141</f>
        <v>72</v>
      </c>
      <c r="J168" s="43">
        <f t="shared" si="16"/>
        <v>105</v>
      </c>
      <c r="K168" s="39">
        <f t="shared" si="6"/>
        <v>43.140170999999995</v>
      </c>
      <c r="L168" s="39">
        <f t="shared" si="7"/>
        <v>3.3899999999999997</v>
      </c>
    </row>
    <row r="169" spans="2:12" x14ac:dyDescent="0.3">
      <c r="B169">
        <v>990</v>
      </c>
      <c r="C169">
        <v>62</v>
      </c>
      <c r="D169">
        <v>95</v>
      </c>
      <c r="E169">
        <v>35.4</v>
      </c>
      <c r="F169">
        <v>3.38</v>
      </c>
      <c r="I169" s="43">
        <f t="shared" ref="I169:J169" si="17">I142</f>
        <v>67</v>
      </c>
      <c r="J169" s="43">
        <f t="shared" si="17"/>
        <v>105</v>
      </c>
      <c r="K169" s="39">
        <f t="shared" si="6"/>
        <v>39.240171000000004</v>
      </c>
      <c r="L169" s="39">
        <f t="shared" si="7"/>
        <v>3.25</v>
      </c>
    </row>
    <row r="170" spans="2:12" x14ac:dyDescent="0.3">
      <c r="B170">
        <v>990</v>
      </c>
      <c r="C170">
        <v>57</v>
      </c>
      <c r="D170">
        <v>95</v>
      </c>
      <c r="E170">
        <v>33.799999999999997</v>
      </c>
      <c r="F170">
        <v>3.33</v>
      </c>
      <c r="I170" s="43">
        <f t="shared" ref="I170:J170" si="18">I143</f>
        <v>63</v>
      </c>
      <c r="J170" s="43">
        <f t="shared" si="18"/>
        <v>105</v>
      </c>
      <c r="K170" s="39">
        <f t="shared" si="6"/>
        <v>36.240171000000004</v>
      </c>
      <c r="L170" s="39">
        <f t="shared" si="7"/>
        <v>3.1399999999999997</v>
      </c>
    </row>
    <row r="171" spans="2:12" x14ac:dyDescent="0.3">
      <c r="B171">
        <v>1100</v>
      </c>
      <c r="C171">
        <v>72</v>
      </c>
      <c r="D171">
        <v>95</v>
      </c>
      <c r="E171">
        <v>44.2</v>
      </c>
      <c r="F171">
        <v>3.66</v>
      </c>
      <c r="I171" s="43">
        <f t="shared" ref="I171:J171" si="19">I144</f>
        <v>62</v>
      </c>
      <c r="J171" s="43">
        <f t="shared" si="19"/>
        <v>105</v>
      </c>
      <c r="K171" s="39">
        <f t="shared" si="6"/>
        <v>35.640170999999995</v>
      </c>
      <c r="L171" s="39">
        <f t="shared" si="7"/>
        <v>3.12</v>
      </c>
    </row>
    <row r="172" spans="2:12" x14ac:dyDescent="0.3">
      <c r="B172">
        <v>1100</v>
      </c>
      <c r="C172">
        <v>67</v>
      </c>
      <c r="D172">
        <v>95</v>
      </c>
      <c r="E172">
        <v>40</v>
      </c>
      <c r="F172">
        <v>3.54</v>
      </c>
      <c r="I172" s="43">
        <f t="shared" ref="I172:J172" si="20">I145</f>
        <v>57</v>
      </c>
      <c r="J172" s="43">
        <f t="shared" si="20"/>
        <v>105</v>
      </c>
      <c r="K172" s="39">
        <f t="shared" si="6"/>
        <v>35.140170999999995</v>
      </c>
      <c r="L172" s="39">
        <f t="shared" si="7"/>
        <v>3.0999999999999996</v>
      </c>
    </row>
    <row r="173" spans="2:12" x14ac:dyDescent="0.3">
      <c r="B173">
        <v>1100</v>
      </c>
      <c r="C173">
        <v>63</v>
      </c>
      <c r="D173">
        <v>95</v>
      </c>
      <c r="E173">
        <v>37</v>
      </c>
      <c r="F173">
        <v>3.45</v>
      </c>
      <c r="I173" s="43">
        <f t="shared" ref="I173:J173" si="21">I146</f>
        <v>72</v>
      </c>
      <c r="J173" s="43">
        <f t="shared" si="21"/>
        <v>115</v>
      </c>
      <c r="K173" s="39">
        <f t="shared" si="6"/>
        <v>40.440171000000007</v>
      </c>
      <c r="L173" s="39">
        <f t="shared" si="7"/>
        <v>3.62</v>
      </c>
    </row>
    <row r="174" spans="2:12" x14ac:dyDescent="0.3">
      <c r="B174">
        <v>1100</v>
      </c>
      <c r="C174">
        <v>62</v>
      </c>
      <c r="D174">
        <v>95</v>
      </c>
      <c r="E174">
        <v>36.200000000000003</v>
      </c>
      <c r="F174">
        <v>3.43</v>
      </c>
      <c r="I174" s="43">
        <f t="shared" ref="I174:J174" si="22">I147</f>
        <v>67</v>
      </c>
      <c r="J174" s="43">
        <f t="shared" si="22"/>
        <v>115</v>
      </c>
      <c r="K174" s="39">
        <f t="shared" si="6"/>
        <v>36.640170999999995</v>
      </c>
      <c r="L174" s="39">
        <f t="shared" si="7"/>
        <v>3.46</v>
      </c>
    </row>
    <row r="175" spans="2:12" x14ac:dyDescent="0.3">
      <c r="B175">
        <v>1100</v>
      </c>
      <c r="C175">
        <v>57</v>
      </c>
      <c r="D175">
        <v>95</v>
      </c>
      <c r="E175">
        <v>35.200000000000003</v>
      </c>
      <c r="F175">
        <v>3.39</v>
      </c>
      <c r="I175" s="43">
        <f t="shared" ref="I175:J175" si="23">I148</f>
        <v>63</v>
      </c>
      <c r="J175" s="43">
        <f t="shared" si="23"/>
        <v>115</v>
      </c>
      <c r="K175" s="39">
        <f t="shared" si="6"/>
        <v>33.840170999999998</v>
      </c>
      <c r="L175" s="39">
        <f t="shared" si="7"/>
        <v>3.34</v>
      </c>
    </row>
    <row r="176" spans="2:12" x14ac:dyDescent="0.3">
      <c r="B176">
        <v>1225</v>
      </c>
      <c r="C176">
        <v>72</v>
      </c>
      <c r="D176">
        <v>95</v>
      </c>
      <c r="E176">
        <v>45</v>
      </c>
      <c r="F176">
        <v>3.7</v>
      </c>
      <c r="I176" s="43">
        <f t="shared" ref="I176:J176" si="24">I149</f>
        <v>62</v>
      </c>
      <c r="J176" s="43">
        <f t="shared" si="24"/>
        <v>115</v>
      </c>
      <c r="K176" s="39">
        <f t="shared" si="6"/>
        <v>33.340170999999998</v>
      </c>
      <c r="L176" s="39">
        <f t="shared" si="7"/>
        <v>3.3099999999999996</v>
      </c>
    </row>
    <row r="177" spans="2:12" x14ac:dyDescent="0.3">
      <c r="B177">
        <v>1225</v>
      </c>
      <c r="C177">
        <v>67</v>
      </c>
      <c r="D177">
        <v>95</v>
      </c>
      <c r="E177">
        <v>40.799999999999997</v>
      </c>
      <c r="F177">
        <v>3.58</v>
      </c>
      <c r="I177" s="43">
        <f t="shared" ref="I177:J177" si="25">I150</f>
        <v>57</v>
      </c>
      <c r="J177" s="43">
        <f t="shared" si="25"/>
        <v>115</v>
      </c>
      <c r="K177" s="39">
        <f t="shared" si="6"/>
        <v>33.240171000000004</v>
      </c>
      <c r="L177" s="39">
        <f t="shared" si="7"/>
        <v>3.3099999999999996</v>
      </c>
    </row>
    <row r="178" spans="2:12" x14ac:dyDescent="0.3">
      <c r="B178">
        <v>1225</v>
      </c>
      <c r="C178">
        <v>63</v>
      </c>
      <c r="D178">
        <v>95</v>
      </c>
      <c r="E178">
        <v>37.700000000000003</v>
      </c>
      <c r="F178">
        <v>3.49</v>
      </c>
      <c r="L178" s="41"/>
    </row>
    <row r="179" spans="2:12" x14ac:dyDescent="0.3">
      <c r="B179">
        <v>1225</v>
      </c>
      <c r="C179">
        <v>62</v>
      </c>
      <c r="D179">
        <v>95</v>
      </c>
      <c r="E179">
        <v>37</v>
      </c>
      <c r="F179">
        <v>3.47</v>
      </c>
      <c r="L179" s="41"/>
    </row>
    <row r="180" spans="2:12" x14ac:dyDescent="0.3">
      <c r="B180">
        <v>1225</v>
      </c>
      <c r="C180">
        <v>57</v>
      </c>
      <c r="D180">
        <v>95</v>
      </c>
      <c r="E180">
        <v>36.6</v>
      </c>
      <c r="F180">
        <v>3.46</v>
      </c>
    </row>
    <row r="181" spans="2:12" x14ac:dyDescent="0.3">
      <c r="B181">
        <v>800</v>
      </c>
      <c r="C181">
        <v>72</v>
      </c>
      <c r="D181">
        <v>105</v>
      </c>
      <c r="E181">
        <v>38.799999999999997</v>
      </c>
      <c r="F181">
        <v>3.76</v>
      </c>
    </row>
    <row r="182" spans="2:12" x14ac:dyDescent="0.3">
      <c r="B182">
        <v>800</v>
      </c>
      <c r="C182">
        <v>67</v>
      </c>
      <c r="D182">
        <v>105</v>
      </c>
      <c r="E182">
        <v>34.9</v>
      </c>
      <c r="F182">
        <v>3.62</v>
      </c>
    </row>
    <row r="183" spans="2:12" x14ac:dyDescent="0.3">
      <c r="B183">
        <v>800</v>
      </c>
      <c r="C183">
        <v>63</v>
      </c>
      <c r="D183">
        <v>105</v>
      </c>
      <c r="E183">
        <v>32.200000000000003</v>
      </c>
      <c r="F183">
        <v>3.52</v>
      </c>
    </row>
    <row r="184" spans="2:12" x14ac:dyDescent="0.3">
      <c r="B184">
        <v>800</v>
      </c>
      <c r="C184">
        <v>62</v>
      </c>
      <c r="D184">
        <v>105</v>
      </c>
      <c r="E184">
        <v>31.5</v>
      </c>
      <c r="F184">
        <v>3.49</v>
      </c>
    </row>
    <row r="185" spans="2:12" x14ac:dyDescent="0.3">
      <c r="B185">
        <v>800</v>
      </c>
      <c r="C185">
        <v>57</v>
      </c>
      <c r="D185">
        <v>105</v>
      </c>
      <c r="E185">
        <v>29.4</v>
      </c>
      <c r="F185">
        <v>3.4</v>
      </c>
    </row>
    <row r="186" spans="2:12" x14ac:dyDescent="0.3">
      <c r="B186">
        <v>900</v>
      </c>
      <c r="C186">
        <v>72</v>
      </c>
      <c r="D186">
        <v>105</v>
      </c>
      <c r="E186">
        <v>39.9</v>
      </c>
      <c r="F186">
        <v>3.81</v>
      </c>
    </row>
    <row r="187" spans="2:12" x14ac:dyDescent="0.3">
      <c r="B187">
        <v>900</v>
      </c>
      <c r="C187">
        <v>67</v>
      </c>
      <c r="D187">
        <v>105</v>
      </c>
      <c r="E187">
        <v>36</v>
      </c>
      <c r="F187">
        <v>3.68</v>
      </c>
    </row>
    <row r="188" spans="2:12" x14ac:dyDescent="0.3">
      <c r="B188">
        <v>900</v>
      </c>
      <c r="C188">
        <v>63</v>
      </c>
      <c r="D188">
        <v>105</v>
      </c>
      <c r="E188">
        <v>33.200000000000003</v>
      </c>
      <c r="F188">
        <v>3.57</v>
      </c>
    </row>
    <row r="189" spans="2:12" x14ac:dyDescent="0.3">
      <c r="B189">
        <v>900</v>
      </c>
      <c r="C189">
        <v>62</v>
      </c>
      <c r="D189">
        <v>105</v>
      </c>
      <c r="E189">
        <v>32.4</v>
      </c>
      <c r="F189">
        <v>3.54</v>
      </c>
    </row>
    <row r="190" spans="2:12" x14ac:dyDescent="0.3">
      <c r="B190">
        <v>900</v>
      </c>
      <c r="C190">
        <v>57</v>
      </c>
      <c r="D190">
        <v>105</v>
      </c>
      <c r="E190">
        <v>30.9</v>
      </c>
      <c r="F190">
        <v>3.48</v>
      </c>
    </row>
    <row r="191" spans="2:12" x14ac:dyDescent="0.3">
      <c r="B191">
        <v>990</v>
      </c>
      <c r="C191">
        <v>72</v>
      </c>
      <c r="D191">
        <v>105</v>
      </c>
      <c r="E191">
        <v>40.6</v>
      </c>
      <c r="F191">
        <v>3.86</v>
      </c>
    </row>
    <row r="192" spans="2:12" x14ac:dyDescent="0.3">
      <c r="B192">
        <v>990</v>
      </c>
      <c r="C192">
        <v>67</v>
      </c>
      <c r="D192">
        <v>105</v>
      </c>
      <c r="E192">
        <v>36.700000000000003</v>
      </c>
      <c r="F192">
        <v>3.72</v>
      </c>
    </row>
    <row r="193" spans="2:6" x14ac:dyDescent="0.3">
      <c r="B193">
        <v>990</v>
      </c>
      <c r="C193">
        <v>63</v>
      </c>
      <c r="D193">
        <v>105</v>
      </c>
      <c r="E193">
        <v>33.9</v>
      </c>
      <c r="F193">
        <v>3.61</v>
      </c>
    </row>
    <row r="194" spans="2:6" x14ac:dyDescent="0.3">
      <c r="B194">
        <v>990</v>
      </c>
      <c r="C194">
        <v>62</v>
      </c>
      <c r="D194">
        <v>105</v>
      </c>
      <c r="E194">
        <v>33.200000000000003</v>
      </c>
      <c r="F194">
        <v>3.58</v>
      </c>
    </row>
    <row r="195" spans="2:6" x14ac:dyDescent="0.3">
      <c r="B195">
        <v>990</v>
      </c>
      <c r="C195">
        <v>57</v>
      </c>
      <c r="D195">
        <v>105</v>
      </c>
      <c r="E195">
        <v>32.1</v>
      </c>
      <c r="F195">
        <v>3.54</v>
      </c>
    </row>
    <row r="196" spans="2:6" x14ac:dyDescent="0.3">
      <c r="B196">
        <v>1100</v>
      </c>
      <c r="C196">
        <v>72</v>
      </c>
      <c r="D196">
        <v>105</v>
      </c>
      <c r="E196">
        <v>41.4</v>
      </c>
      <c r="F196">
        <v>3.9</v>
      </c>
    </row>
    <row r="197" spans="2:6" x14ac:dyDescent="0.3">
      <c r="B197">
        <v>1100</v>
      </c>
      <c r="C197">
        <v>67</v>
      </c>
      <c r="D197">
        <v>105</v>
      </c>
      <c r="E197">
        <v>37.5</v>
      </c>
      <c r="F197">
        <v>3.76</v>
      </c>
    </row>
    <row r="198" spans="2:6" x14ac:dyDescent="0.3">
      <c r="B198">
        <v>1100</v>
      </c>
      <c r="C198">
        <v>63</v>
      </c>
      <c r="D198">
        <v>105</v>
      </c>
      <c r="E198">
        <v>34.5</v>
      </c>
      <c r="F198">
        <v>3.65</v>
      </c>
    </row>
    <row r="199" spans="2:6" x14ac:dyDescent="0.3">
      <c r="B199">
        <v>1100</v>
      </c>
      <c r="C199">
        <v>62</v>
      </c>
      <c r="D199">
        <v>105</v>
      </c>
      <c r="E199">
        <v>33.9</v>
      </c>
      <c r="F199">
        <v>3.63</v>
      </c>
    </row>
    <row r="200" spans="2:6" x14ac:dyDescent="0.3">
      <c r="B200">
        <v>1100</v>
      </c>
      <c r="C200">
        <v>57</v>
      </c>
      <c r="D200">
        <v>105</v>
      </c>
      <c r="E200">
        <v>33.4</v>
      </c>
      <c r="F200">
        <v>3.61</v>
      </c>
    </row>
    <row r="201" spans="2:6" x14ac:dyDescent="0.3">
      <c r="B201">
        <v>1225</v>
      </c>
      <c r="C201">
        <v>72</v>
      </c>
      <c r="D201">
        <v>105</v>
      </c>
      <c r="E201">
        <v>42.2</v>
      </c>
      <c r="F201">
        <v>3.94</v>
      </c>
    </row>
    <row r="202" spans="2:6" x14ac:dyDescent="0.3">
      <c r="B202">
        <v>1225</v>
      </c>
      <c r="C202">
        <v>67</v>
      </c>
      <c r="D202">
        <v>105</v>
      </c>
      <c r="E202">
        <v>38.1</v>
      </c>
      <c r="F202">
        <v>3.81</v>
      </c>
    </row>
    <row r="203" spans="2:6" x14ac:dyDescent="0.3">
      <c r="B203">
        <v>1225</v>
      </c>
      <c r="C203">
        <v>63</v>
      </c>
      <c r="D203">
        <v>105</v>
      </c>
      <c r="E203">
        <v>35.200000000000003</v>
      </c>
      <c r="F203">
        <v>3.7</v>
      </c>
    </row>
    <row r="204" spans="2:6" x14ac:dyDescent="0.3">
      <c r="B204">
        <v>1225</v>
      </c>
      <c r="C204">
        <v>62</v>
      </c>
      <c r="D204">
        <v>105</v>
      </c>
      <c r="E204">
        <v>34.700000000000003</v>
      </c>
      <c r="F204">
        <v>3.68</v>
      </c>
    </row>
    <row r="205" spans="2:6" x14ac:dyDescent="0.3">
      <c r="B205">
        <v>1225</v>
      </c>
      <c r="C205">
        <v>57</v>
      </c>
      <c r="D205">
        <v>105</v>
      </c>
      <c r="E205">
        <v>34.700000000000003</v>
      </c>
      <c r="F205">
        <v>3.68</v>
      </c>
    </row>
    <row r="206" spans="2:6" x14ac:dyDescent="0.3">
      <c r="B206">
        <v>800</v>
      </c>
      <c r="C206">
        <v>72</v>
      </c>
      <c r="D206">
        <v>115</v>
      </c>
      <c r="E206">
        <v>36.299999999999997</v>
      </c>
      <c r="F206">
        <v>3.99</v>
      </c>
    </row>
    <row r="207" spans="2:6" x14ac:dyDescent="0.3">
      <c r="B207">
        <v>800</v>
      </c>
      <c r="C207">
        <v>67</v>
      </c>
      <c r="D207">
        <v>115</v>
      </c>
      <c r="E207">
        <v>32.700000000000003</v>
      </c>
      <c r="F207">
        <v>3.83</v>
      </c>
    </row>
    <row r="208" spans="2:6" x14ac:dyDescent="0.3">
      <c r="B208">
        <v>800</v>
      </c>
      <c r="C208">
        <v>63</v>
      </c>
      <c r="D208">
        <v>115</v>
      </c>
      <c r="E208">
        <v>30.1</v>
      </c>
      <c r="F208">
        <v>3.7</v>
      </c>
    </row>
    <row r="209" spans="2:7" x14ac:dyDescent="0.3">
      <c r="B209">
        <v>800</v>
      </c>
      <c r="C209">
        <v>62</v>
      </c>
      <c r="D209">
        <v>115</v>
      </c>
      <c r="E209">
        <v>29.4</v>
      </c>
      <c r="F209">
        <v>3.67</v>
      </c>
    </row>
    <row r="210" spans="2:7" x14ac:dyDescent="0.3">
      <c r="B210">
        <v>800</v>
      </c>
      <c r="C210">
        <v>57</v>
      </c>
      <c r="D210">
        <v>115</v>
      </c>
      <c r="E210">
        <v>27.8</v>
      </c>
      <c r="F210">
        <v>3.6</v>
      </c>
    </row>
    <row r="211" spans="2:7" x14ac:dyDescent="0.3">
      <c r="B211">
        <v>900</v>
      </c>
      <c r="C211">
        <v>72</v>
      </c>
      <c r="D211">
        <v>115</v>
      </c>
      <c r="E211">
        <v>37.299999999999997</v>
      </c>
      <c r="F211">
        <v>4.04</v>
      </c>
    </row>
    <row r="212" spans="2:7" x14ac:dyDescent="0.3">
      <c r="B212">
        <v>900</v>
      </c>
      <c r="C212">
        <v>67</v>
      </c>
      <c r="D212">
        <v>115</v>
      </c>
      <c r="E212">
        <v>33.6</v>
      </c>
      <c r="F212">
        <v>3.88</v>
      </c>
    </row>
    <row r="213" spans="2:7" x14ac:dyDescent="0.3">
      <c r="B213">
        <v>900</v>
      </c>
      <c r="C213">
        <v>63</v>
      </c>
      <c r="D213">
        <v>115</v>
      </c>
      <c r="E213">
        <v>30.9</v>
      </c>
      <c r="F213">
        <v>3.76</v>
      </c>
    </row>
    <row r="214" spans="2:7" x14ac:dyDescent="0.3">
      <c r="B214">
        <v>900</v>
      </c>
      <c r="C214">
        <v>62</v>
      </c>
      <c r="D214">
        <v>115</v>
      </c>
      <c r="E214">
        <v>30.2</v>
      </c>
      <c r="F214">
        <v>3.73</v>
      </c>
    </row>
    <row r="215" spans="2:7" x14ac:dyDescent="0.3">
      <c r="B215">
        <v>900</v>
      </c>
      <c r="C215">
        <v>57</v>
      </c>
      <c r="D215">
        <v>115</v>
      </c>
      <c r="E215">
        <v>29.2</v>
      </c>
      <c r="F215">
        <v>3.68</v>
      </c>
    </row>
    <row r="216" spans="2:7" x14ac:dyDescent="0.3">
      <c r="B216">
        <v>990</v>
      </c>
      <c r="C216">
        <v>72</v>
      </c>
      <c r="D216">
        <v>115</v>
      </c>
      <c r="E216">
        <v>37.9</v>
      </c>
      <c r="F216">
        <v>4.08</v>
      </c>
    </row>
    <row r="217" spans="2:7" x14ac:dyDescent="0.3">
      <c r="B217">
        <v>990</v>
      </c>
      <c r="C217">
        <v>67</v>
      </c>
      <c r="D217">
        <v>115</v>
      </c>
      <c r="E217">
        <v>34.200000000000003</v>
      </c>
      <c r="F217">
        <v>3.92</v>
      </c>
    </row>
    <row r="218" spans="2:7" x14ac:dyDescent="0.3">
      <c r="B218">
        <v>990</v>
      </c>
      <c r="C218">
        <v>63</v>
      </c>
      <c r="D218">
        <v>115</v>
      </c>
      <c r="E218">
        <v>31.5</v>
      </c>
      <c r="F218">
        <v>3.8</v>
      </c>
    </row>
    <row r="221" spans="2:7" ht="18" x14ac:dyDescent="0.35">
      <c r="B221" s="30" t="s">
        <v>31</v>
      </c>
      <c r="C221" s="30"/>
    </row>
    <row r="222" spans="2:7" x14ac:dyDescent="0.3">
      <c r="B222" s="31" t="s">
        <v>32</v>
      </c>
      <c r="C222" s="33"/>
      <c r="D222" s="33"/>
    </row>
    <row r="223" spans="2:7" x14ac:dyDescent="0.3">
      <c r="B223" s="31" t="s">
        <v>33</v>
      </c>
      <c r="C223" s="33"/>
      <c r="D223" s="33"/>
      <c r="E223" s="33"/>
      <c r="F223" s="33"/>
      <c r="G223" s="33"/>
    </row>
    <row r="239" spans="15:19" x14ac:dyDescent="0.3">
      <c r="O239" s="31" t="s">
        <v>34</v>
      </c>
      <c r="P239" s="33"/>
      <c r="Q239" s="33"/>
      <c r="R239" s="37">
        <f>250</f>
        <v>250</v>
      </c>
      <c r="S239" t="s">
        <v>20</v>
      </c>
    </row>
    <row r="241" spans="2:21" x14ac:dyDescent="0.3">
      <c r="B241" s="31" t="s">
        <v>23</v>
      </c>
      <c r="C241" s="31"/>
      <c r="D241" s="31"/>
      <c r="E241" s="31"/>
      <c r="H241" s="31" t="s">
        <v>35</v>
      </c>
      <c r="I241" s="31"/>
      <c r="J241" s="31"/>
      <c r="K241" s="31"/>
      <c r="L241" s="31"/>
      <c r="M241" s="31"/>
      <c r="O241" s="31" t="s">
        <v>22</v>
      </c>
      <c r="P241" s="31"/>
      <c r="Q241" s="31"/>
      <c r="R241" s="31"/>
      <c r="S241" s="31"/>
      <c r="T241" s="31"/>
      <c r="U241" s="31"/>
    </row>
    <row r="242" spans="2:21" x14ac:dyDescent="0.3">
      <c r="H242" s="31" t="s">
        <v>36</v>
      </c>
      <c r="I242" s="31"/>
      <c r="J242" s="31"/>
      <c r="K242" s="31"/>
      <c r="L242" s="31"/>
      <c r="M242" s="31"/>
      <c r="O242" s="31" t="s">
        <v>25</v>
      </c>
      <c r="P242" s="31"/>
      <c r="Q242" s="31"/>
      <c r="R242" s="31"/>
      <c r="S242" s="31"/>
      <c r="T242" s="31"/>
    </row>
    <row r="243" spans="2:21" ht="15" thickBot="1" x14ac:dyDescent="0.35">
      <c r="B243" s="42" t="s">
        <v>47</v>
      </c>
      <c r="C243" s="42" t="s">
        <v>41</v>
      </c>
      <c r="D243" s="42" t="s">
        <v>27</v>
      </c>
      <c r="E243" s="42" t="s">
        <v>45</v>
      </c>
      <c r="F243" s="42" t="s">
        <v>51</v>
      </c>
      <c r="H243" s="42" t="s">
        <v>47</v>
      </c>
      <c r="I243" s="42" t="s">
        <v>41</v>
      </c>
      <c r="J243" s="42" t="s">
        <v>45</v>
      </c>
      <c r="K243" s="42" t="s">
        <v>52</v>
      </c>
      <c r="L243" s="42" t="s">
        <v>51</v>
      </c>
      <c r="O243" s="42" t="s">
        <v>47</v>
      </c>
      <c r="P243" s="42" t="s">
        <v>41</v>
      </c>
      <c r="Q243" s="42" t="s">
        <v>27</v>
      </c>
      <c r="R243" s="42" t="s">
        <v>49</v>
      </c>
      <c r="S243" s="42" t="s">
        <v>52</v>
      </c>
      <c r="T243" s="42" t="s">
        <v>51</v>
      </c>
    </row>
    <row r="244" spans="2:21" ht="15" thickTop="1" x14ac:dyDescent="0.3">
      <c r="B244" s="36">
        <v>63</v>
      </c>
      <c r="C244">
        <f>85</f>
        <v>85</v>
      </c>
      <c r="D244">
        <v>960</v>
      </c>
      <c r="E244">
        <v>35.200000000000003</v>
      </c>
      <c r="F244">
        <v>2.2599999999999998</v>
      </c>
      <c r="H244" s="36">
        <v>63</v>
      </c>
      <c r="I244" s="36">
        <v>85</v>
      </c>
      <c r="J244" s="37">
        <v>36.700000000000003</v>
      </c>
      <c r="K244" s="36">
        <v>2.27</v>
      </c>
      <c r="L244" s="43">
        <f>$K244+$R$239/1000</f>
        <v>2.52</v>
      </c>
      <c r="O244" s="36">
        <v>67</v>
      </c>
      <c r="P244" s="36">
        <v>95</v>
      </c>
      <c r="Q244" s="36">
        <v>960</v>
      </c>
      <c r="R244" s="38">
        <v>35.799999999999997</v>
      </c>
      <c r="S244" s="38">
        <v>2.58</v>
      </c>
      <c r="T244" s="43">
        <f>$S244+$R$239/1000</f>
        <v>2.83</v>
      </c>
    </row>
    <row r="245" spans="2:21" x14ac:dyDescent="0.3">
      <c r="B245" s="36">
        <v>63</v>
      </c>
      <c r="C245">
        <f>85</f>
        <v>85</v>
      </c>
      <c r="D245">
        <v>1200</v>
      </c>
      <c r="E245">
        <v>36.700000000000003</v>
      </c>
      <c r="F245">
        <v>2.27</v>
      </c>
      <c r="H245" s="36">
        <v>67</v>
      </c>
      <c r="I245" s="36">
        <v>85</v>
      </c>
      <c r="J245" s="37">
        <v>39</v>
      </c>
      <c r="K245" s="36">
        <v>2.2799999999999998</v>
      </c>
      <c r="L245" s="43">
        <f t="shared" ref="L245:L255" si="26">$K245+$R$239/1000</f>
        <v>2.5299999999999998</v>
      </c>
      <c r="O245" s="36">
        <v>67</v>
      </c>
      <c r="P245" s="36">
        <v>95</v>
      </c>
      <c r="Q245" s="36">
        <v>1200</v>
      </c>
      <c r="R245" s="38">
        <v>37.1</v>
      </c>
      <c r="S245" s="38">
        <v>2.59</v>
      </c>
      <c r="T245" s="43">
        <f t="shared" ref="T245:T246" si="27">$S245+$R$239/1000</f>
        <v>2.84</v>
      </c>
    </row>
    <row r="246" spans="2:21" x14ac:dyDescent="0.3">
      <c r="B246" s="36">
        <v>63</v>
      </c>
      <c r="C246">
        <f>85</f>
        <v>85</v>
      </c>
      <c r="D246">
        <v>1440</v>
      </c>
      <c r="E246">
        <v>37.9</v>
      </c>
      <c r="F246">
        <v>2.2799999999999998</v>
      </c>
      <c r="H246" s="36">
        <v>71</v>
      </c>
      <c r="I246" s="36">
        <v>85</v>
      </c>
      <c r="J246" s="37">
        <v>41.5</v>
      </c>
      <c r="K246" s="36">
        <v>2.31</v>
      </c>
      <c r="L246" s="43">
        <f t="shared" si="26"/>
        <v>2.56</v>
      </c>
      <c r="O246" s="36">
        <v>67</v>
      </c>
      <c r="P246" s="36">
        <v>95</v>
      </c>
      <c r="Q246" s="36">
        <v>1440</v>
      </c>
      <c r="R246" s="38">
        <v>37.9</v>
      </c>
      <c r="S246" s="38">
        <v>2.6</v>
      </c>
      <c r="T246" s="43">
        <f t="shared" si="27"/>
        <v>2.85</v>
      </c>
    </row>
    <row r="247" spans="2:21" x14ac:dyDescent="0.3">
      <c r="B247" s="36">
        <v>67</v>
      </c>
      <c r="C247">
        <f>85</f>
        <v>85</v>
      </c>
      <c r="D247">
        <v>960</v>
      </c>
      <c r="E247">
        <v>37.6</v>
      </c>
      <c r="F247">
        <v>2.2799999999999998</v>
      </c>
      <c r="H247" s="36">
        <v>63</v>
      </c>
      <c r="I247" s="36">
        <v>95</v>
      </c>
      <c r="J247" s="37">
        <v>34.9</v>
      </c>
      <c r="K247" s="36">
        <v>2.58</v>
      </c>
      <c r="L247" s="43">
        <f t="shared" si="26"/>
        <v>2.83</v>
      </c>
      <c r="S247" s="45"/>
    </row>
    <row r="248" spans="2:21" x14ac:dyDescent="0.3">
      <c r="B248" s="36">
        <v>67</v>
      </c>
      <c r="C248">
        <f>85</f>
        <v>85</v>
      </c>
      <c r="D248">
        <v>1200</v>
      </c>
      <c r="E248">
        <v>39</v>
      </c>
      <c r="F248">
        <v>2.2799999999999998</v>
      </c>
      <c r="H248" s="36">
        <v>67</v>
      </c>
      <c r="I248" s="36">
        <v>95</v>
      </c>
      <c r="J248" s="37">
        <v>37.1</v>
      </c>
      <c r="K248" s="36">
        <v>2.59</v>
      </c>
      <c r="L248" s="43">
        <f t="shared" si="26"/>
        <v>2.84</v>
      </c>
      <c r="S248" s="45"/>
    </row>
    <row r="249" spans="2:21" x14ac:dyDescent="0.3">
      <c r="B249" s="36">
        <v>67</v>
      </c>
      <c r="C249">
        <f>85</f>
        <v>85</v>
      </c>
      <c r="D249">
        <v>1440</v>
      </c>
      <c r="E249">
        <v>39.9</v>
      </c>
      <c r="F249">
        <v>2.29</v>
      </c>
      <c r="H249" s="36">
        <v>71</v>
      </c>
      <c r="I249" s="36">
        <v>95</v>
      </c>
      <c r="J249" s="37">
        <v>39.5</v>
      </c>
      <c r="K249" s="36">
        <v>2.62</v>
      </c>
      <c r="L249" s="43">
        <f t="shared" si="26"/>
        <v>2.87</v>
      </c>
      <c r="Q249" s="81" t="s">
        <v>28</v>
      </c>
      <c r="R249" s="81"/>
      <c r="S249" s="81"/>
    </row>
    <row r="250" spans="2:21" x14ac:dyDescent="0.3">
      <c r="B250" s="36">
        <v>71</v>
      </c>
      <c r="C250">
        <f>85</f>
        <v>85</v>
      </c>
      <c r="D250">
        <v>960</v>
      </c>
      <c r="E250">
        <v>40.200000000000003</v>
      </c>
      <c r="F250">
        <v>2.2999999999999998</v>
      </c>
      <c r="H250" s="36">
        <v>63</v>
      </c>
      <c r="I250" s="36">
        <v>105</v>
      </c>
      <c r="J250" s="37">
        <v>33.1</v>
      </c>
      <c r="K250" s="36">
        <v>2.93</v>
      </c>
      <c r="L250" s="43">
        <f t="shared" si="26"/>
        <v>3.18</v>
      </c>
      <c r="Q250" s="79" t="s">
        <v>29</v>
      </c>
      <c r="R250" s="79"/>
      <c r="S250" s="79"/>
    </row>
    <row r="251" spans="2:21" x14ac:dyDescent="0.3">
      <c r="B251" s="36">
        <v>71</v>
      </c>
      <c r="C251">
        <f>85</f>
        <v>85</v>
      </c>
      <c r="D251">
        <v>1200</v>
      </c>
      <c r="E251">
        <v>41.5</v>
      </c>
      <c r="F251">
        <v>2.31</v>
      </c>
      <c r="H251" s="36">
        <v>67</v>
      </c>
      <c r="I251" s="36">
        <v>105</v>
      </c>
      <c r="J251" s="37">
        <v>35</v>
      </c>
      <c r="K251" s="36">
        <v>2.94</v>
      </c>
      <c r="L251" s="43">
        <f t="shared" si="26"/>
        <v>3.19</v>
      </c>
      <c r="Q251" s="80"/>
      <c r="R251" s="80"/>
      <c r="S251" s="80"/>
    </row>
    <row r="252" spans="2:21" ht="15" thickBot="1" x14ac:dyDescent="0.35">
      <c r="B252" s="36">
        <v>71</v>
      </c>
      <c r="C252">
        <f>85</f>
        <v>85</v>
      </c>
      <c r="D252">
        <v>1440</v>
      </c>
      <c r="E252">
        <v>42.4</v>
      </c>
      <c r="F252">
        <v>2.31</v>
      </c>
      <c r="H252" s="36">
        <v>71</v>
      </c>
      <c r="I252" s="36">
        <v>105</v>
      </c>
      <c r="J252" s="37">
        <v>37.4</v>
      </c>
      <c r="K252" s="36">
        <v>2.97</v>
      </c>
      <c r="L252" s="43">
        <f t="shared" si="26"/>
        <v>3.22</v>
      </c>
      <c r="Q252" s="48" t="s">
        <v>53</v>
      </c>
      <c r="R252" s="48" t="s">
        <v>48</v>
      </c>
      <c r="S252" s="48" t="s">
        <v>51</v>
      </c>
    </row>
    <row r="253" spans="2:21" ht="15" thickTop="1" x14ac:dyDescent="0.3">
      <c r="B253" s="36">
        <v>63</v>
      </c>
      <c r="C253">
        <v>95</v>
      </c>
      <c r="D253">
        <v>960</v>
      </c>
      <c r="E253">
        <v>33.6</v>
      </c>
      <c r="F253">
        <v>2.57</v>
      </c>
      <c r="H253" s="36">
        <v>63</v>
      </c>
      <c r="I253" s="36">
        <v>115</v>
      </c>
      <c r="J253" s="37">
        <v>31.2</v>
      </c>
      <c r="K253" s="36">
        <v>3.34</v>
      </c>
      <c r="L253" s="43">
        <f t="shared" si="26"/>
        <v>3.59</v>
      </c>
      <c r="Q253" s="43">
        <f t="shared" ref="Q253:R255" si="28">Q244</f>
        <v>960</v>
      </c>
      <c r="R253" s="43">
        <f t="shared" si="28"/>
        <v>35.799999999999997</v>
      </c>
      <c r="S253" s="43">
        <f>T244</f>
        <v>2.83</v>
      </c>
    </row>
    <row r="254" spans="2:21" x14ac:dyDescent="0.3">
      <c r="B254" s="36">
        <v>63</v>
      </c>
      <c r="C254">
        <v>95</v>
      </c>
      <c r="D254">
        <v>1200</v>
      </c>
      <c r="E254">
        <v>34.9</v>
      </c>
      <c r="F254">
        <v>2.58</v>
      </c>
      <c r="H254" s="36">
        <v>67</v>
      </c>
      <c r="I254" s="36">
        <v>115</v>
      </c>
      <c r="J254" s="37">
        <v>32.799999999999997</v>
      </c>
      <c r="K254" s="36">
        <v>3.35</v>
      </c>
      <c r="L254" s="43">
        <f t="shared" si="26"/>
        <v>3.6</v>
      </c>
      <c r="Q254" s="43">
        <f t="shared" si="28"/>
        <v>1200</v>
      </c>
      <c r="R254" s="43">
        <f t="shared" si="28"/>
        <v>37.1</v>
      </c>
      <c r="S254" s="43">
        <f>T245</f>
        <v>2.84</v>
      </c>
    </row>
    <row r="255" spans="2:21" x14ac:dyDescent="0.3">
      <c r="B255" s="36">
        <v>63</v>
      </c>
      <c r="C255">
        <v>95</v>
      </c>
      <c r="D255">
        <v>1440</v>
      </c>
      <c r="E255">
        <v>36.299999999999997</v>
      </c>
      <c r="F255">
        <v>2.59</v>
      </c>
      <c r="H255" s="36">
        <v>71</v>
      </c>
      <c r="I255" s="36">
        <v>115</v>
      </c>
      <c r="J255" s="37">
        <v>35</v>
      </c>
      <c r="K255" s="36">
        <v>3.37</v>
      </c>
      <c r="L255" s="43">
        <f t="shared" si="26"/>
        <v>3.62</v>
      </c>
      <c r="Q255" s="43">
        <f t="shared" si="28"/>
        <v>1440</v>
      </c>
      <c r="R255" s="43">
        <f t="shared" si="28"/>
        <v>37.9</v>
      </c>
      <c r="S255" s="43">
        <f>T246</f>
        <v>2.85</v>
      </c>
    </row>
    <row r="256" spans="2:21" x14ac:dyDescent="0.3">
      <c r="B256" s="36">
        <v>67</v>
      </c>
      <c r="C256">
        <v>95</v>
      </c>
      <c r="D256">
        <v>960</v>
      </c>
      <c r="E256">
        <v>35.799999999999997</v>
      </c>
      <c r="F256">
        <v>2.58</v>
      </c>
    </row>
    <row r="257" spans="2:12" x14ac:dyDescent="0.3">
      <c r="B257" s="36">
        <v>67</v>
      </c>
      <c r="C257">
        <v>95</v>
      </c>
      <c r="D257">
        <v>1200</v>
      </c>
      <c r="E257">
        <v>37.1</v>
      </c>
      <c r="F257">
        <v>2.59</v>
      </c>
    </row>
    <row r="258" spans="2:12" x14ac:dyDescent="0.3">
      <c r="B258" s="36">
        <v>67</v>
      </c>
      <c r="C258">
        <v>95</v>
      </c>
      <c r="D258">
        <v>1440</v>
      </c>
      <c r="E258">
        <v>37.9</v>
      </c>
      <c r="F258">
        <v>2.6</v>
      </c>
      <c r="I258" s="81" t="s">
        <v>28</v>
      </c>
      <c r="J258" s="81"/>
      <c r="K258" s="81"/>
      <c r="L258" s="81"/>
    </row>
    <row r="259" spans="2:12" x14ac:dyDescent="0.3">
      <c r="B259" s="36">
        <v>71</v>
      </c>
      <c r="C259">
        <v>95</v>
      </c>
      <c r="D259">
        <v>960</v>
      </c>
      <c r="E259">
        <v>38.299999999999997</v>
      </c>
      <c r="F259">
        <v>2.61</v>
      </c>
      <c r="I259" s="79" t="s">
        <v>30</v>
      </c>
      <c r="J259" s="79"/>
      <c r="K259" s="79"/>
      <c r="L259" s="79"/>
    </row>
    <row r="260" spans="2:12" x14ac:dyDescent="0.3">
      <c r="B260" s="36">
        <v>71</v>
      </c>
      <c r="C260">
        <v>95</v>
      </c>
      <c r="D260">
        <v>1200</v>
      </c>
      <c r="E260">
        <v>39.5</v>
      </c>
      <c r="F260">
        <v>2.62</v>
      </c>
      <c r="I260" s="80"/>
      <c r="J260" s="80"/>
      <c r="K260" s="80"/>
      <c r="L260" s="80"/>
    </row>
    <row r="261" spans="2:12" ht="15" thickBot="1" x14ac:dyDescent="0.35">
      <c r="B261" s="36">
        <v>71</v>
      </c>
      <c r="C261">
        <v>95</v>
      </c>
      <c r="D261">
        <v>1440</v>
      </c>
      <c r="E261">
        <v>40.299999999999997</v>
      </c>
      <c r="F261">
        <v>2.62</v>
      </c>
      <c r="I261" s="48" t="s">
        <v>47</v>
      </c>
      <c r="J261" s="48" t="s">
        <v>41</v>
      </c>
      <c r="K261" s="48" t="s">
        <v>49</v>
      </c>
      <c r="L261" s="48" t="s">
        <v>51</v>
      </c>
    </row>
    <row r="262" spans="2:12" ht="15" thickTop="1" x14ac:dyDescent="0.3">
      <c r="B262" s="36">
        <v>63</v>
      </c>
      <c r="C262">
        <f>105</f>
        <v>105</v>
      </c>
      <c r="D262">
        <v>960</v>
      </c>
      <c r="E262">
        <v>31.7</v>
      </c>
      <c r="F262">
        <v>2.92</v>
      </c>
      <c r="I262" s="43">
        <f t="shared" ref="I262:K273" si="29">H244</f>
        <v>63</v>
      </c>
      <c r="J262" s="43">
        <f t="shared" si="29"/>
        <v>85</v>
      </c>
      <c r="K262" s="57">
        <f>J244</f>
        <v>36.700000000000003</v>
      </c>
      <c r="L262" s="43">
        <f>L244</f>
        <v>2.52</v>
      </c>
    </row>
    <row r="263" spans="2:12" x14ac:dyDescent="0.3">
      <c r="B263" s="36">
        <v>63</v>
      </c>
      <c r="C263">
        <f>105</f>
        <v>105</v>
      </c>
      <c r="D263">
        <v>1200</v>
      </c>
      <c r="E263">
        <v>33.1</v>
      </c>
      <c r="F263">
        <v>2.93</v>
      </c>
      <c r="I263" s="43">
        <f t="shared" si="29"/>
        <v>67</v>
      </c>
      <c r="J263" s="43">
        <f t="shared" si="29"/>
        <v>85</v>
      </c>
      <c r="K263" s="57">
        <f t="shared" si="29"/>
        <v>39</v>
      </c>
      <c r="L263" s="43">
        <f t="shared" ref="L263:L273" si="30">L245</f>
        <v>2.5299999999999998</v>
      </c>
    </row>
    <row r="264" spans="2:12" x14ac:dyDescent="0.3">
      <c r="B264" s="36">
        <v>63</v>
      </c>
      <c r="C264">
        <f>105</f>
        <v>105</v>
      </c>
      <c r="D264">
        <v>1440</v>
      </c>
      <c r="E264">
        <v>34.6</v>
      </c>
      <c r="F264">
        <v>2.94</v>
      </c>
      <c r="I264" s="43">
        <f t="shared" si="29"/>
        <v>71</v>
      </c>
      <c r="J264" s="43">
        <f t="shared" si="29"/>
        <v>85</v>
      </c>
      <c r="K264" s="57">
        <f t="shared" si="29"/>
        <v>41.5</v>
      </c>
      <c r="L264" s="43">
        <f t="shared" si="30"/>
        <v>2.56</v>
      </c>
    </row>
    <row r="265" spans="2:12" x14ac:dyDescent="0.3">
      <c r="B265" s="36">
        <v>67</v>
      </c>
      <c r="C265">
        <f>105</f>
        <v>105</v>
      </c>
      <c r="D265">
        <v>960</v>
      </c>
      <c r="E265">
        <v>33.9</v>
      </c>
      <c r="F265">
        <v>2.93</v>
      </c>
      <c r="I265" s="43">
        <f t="shared" si="29"/>
        <v>63</v>
      </c>
      <c r="J265" s="43">
        <f t="shared" si="29"/>
        <v>95</v>
      </c>
      <c r="K265" s="57">
        <f t="shared" si="29"/>
        <v>34.9</v>
      </c>
      <c r="L265" s="43">
        <f t="shared" si="30"/>
        <v>2.83</v>
      </c>
    </row>
    <row r="266" spans="2:12" x14ac:dyDescent="0.3">
      <c r="B266" s="36">
        <v>67</v>
      </c>
      <c r="C266">
        <f>105</f>
        <v>105</v>
      </c>
      <c r="D266">
        <v>1200</v>
      </c>
      <c r="E266">
        <v>35</v>
      </c>
      <c r="F266">
        <v>2.94</v>
      </c>
      <c r="I266" s="43">
        <f t="shared" si="29"/>
        <v>67</v>
      </c>
      <c r="J266" s="43">
        <f t="shared" si="29"/>
        <v>95</v>
      </c>
      <c r="K266" s="57">
        <f t="shared" si="29"/>
        <v>37.1</v>
      </c>
      <c r="L266" s="43">
        <f t="shared" si="30"/>
        <v>2.84</v>
      </c>
    </row>
    <row r="267" spans="2:12" x14ac:dyDescent="0.3">
      <c r="B267" s="36">
        <v>67</v>
      </c>
      <c r="C267">
        <f>105</f>
        <v>105</v>
      </c>
      <c r="D267">
        <v>1440</v>
      </c>
      <c r="E267">
        <v>35.799999999999997</v>
      </c>
      <c r="F267">
        <v>2.95</v>
      </c>
      <c r="I267" s="43">
        <f t="shared" si="29"/>
        <v>71</v>
      </c>
      <c r="J267" s="43">
        <f t="shared" si="29"/>
        <v>95</v>
      </c>
      <c r="K267" s="57">
        <f t="shared" si="29"/>
        <v>39.5</v>
      </c>
      <c r="L267" s="43">
        <f t="shared" si="30"/>
        <v>2.87</v>
      </c>
    </row>
    <row r="268" spans="2:12" x14ac:dyDescent="0.3">
      <c r="B268" s="36">
        <v>71</v>
      </c>
      <c r="C268">
        <f>105</f>
        <v>105</v>
      </c>
      <c r="D268">
        <v>960</v>
      </c>
      <c r="E268">
        <v>36.299999999999997</v>
      </c>
      <c r="F268">
        <v>2.96</v>
      </c>
      <c r="I268" s="43">
        <f t="shared" si="29"/>
        <v>63</v>
      </c>
      <c r="J268" s="43">
        <f t="shared" si="29"/>
        <v>105</v>
      </c>
      <c r="K268" s="57">
        <f t="shared" si="29"/>
        <v>33.1</v>
      </c>
      <c r="L268" s="43">
        <f t="shared" si="30"/>
        <v>3.18</v>
      </c>
    </row>
    <row r="269" spans="2:12" x14ac:dyDescent="0.3">
      <c r="B269" s="36">
        <v>71</v>
      </c>
      <c r="C269">
        <f>105</f>
        <v>105</v>
      </c>
      <c r="D269">
        <v>1200</v>
      </c>
      <c r="E269">
        <v>37.4</v>
      </c>
      <c r="F269">
        <v>2.97</v>
      </c>
      <c r="I269" s="43">
        <f t="shared" si="29"/>
        <v>67</v>
      </c>
      <c r="J269" s="43">
        <f t="shared" si="29"/>
        <v>105</v>
      </c>
      <c r="K269" s="57">
        <f t="shared" si="29"/>
        <v>35</v>
      </c>
      <c r="L269" s="43">
        <f t="shared" si="30"/>
        <v>3.19</v>
      </c>
    </row>
    <row r="270" spans="2:12" x14ac:dyDescent="0.3">
      <c r="B270" s="36">
        <v>71</v>
      </c>
      <c r="C270">
        <f>105</f>
        <v>105</v>
      </c>
      <c r="D270">
        <v>1440</v>
      </c>
      <c r="E270">
        <v>38.1</v>
      </c>
      <c r="F270">
        <v>2.98</v>
      </c>
      <c r="I270" s="43">
        <f t="shared" si="29"/>
        <v>71</v>
      </c>
      <c r="J270" s="43">
        <f t="shared" si="29"/>
        <v>105</v>
      </c>
      <c r="K270" s="57">
        <f t="shared" si="29"/>
        <v>37.4</v>
      </c>
      <c r="L270" s="43">
        <f t="shared" si="30"/>
        <v>3.22</v>
      </c>
    </row>
    <row r="271" spans="2:12" x14ac:dyDescent="0.3">
      <c r="B271" s="36">
        <v>63</v>
      </c>
      <c r="C271">
        <f>115</f>
        <v>115</v>
      </c>
      <c r="D271">
        <v>960</v>
      </c>
      <c r="E271">
        <v>29.8</v>
      </c>
      <c r="F271">
        <v>3.33</v>
      </c>
      <c r="I271" s="43">
        <f t="shared" si="29"/>
        <v>63</v>
      </c>
      <c r="J271" s="43">
        <f t="shared" si="29"/>
        <v>115</v>
      </c>
      <c r="K271" s="57">
        <f t="shared" si="29"/>
        <v>31.2</v>
      </c>
      <c r="L271" s="43">
        <f t="shared" si="30"/>
        <v>3.59</v>
      </c>
    </row>
    <row r="272" spans="2:12" x14ac:dyDescent="0.3">
      <c r="B272" s="36">
        <v>63</v>
      </c>
      <c r="C272">
        <f>115</f>
        <v>115</v>
      </c>
      <c r="D272">
        <v>1200</v>
      </c>
      <c r="E272">
        <v>31.2</v>
      </c>
      <c r="F272">
        <v>3.34</v>
      </c>
      <c r="I272" s="43">
        <f t="shared" si="29"/>
        <v>67</v>
      </c>
      <c r="J272" s="43">
        <f t="shared" si="29"/>
        <v>115</v>
      </c>
      <c r="K272" s="57">
        <f t="shared" si="29"/>
        <v>32.799999999999997</v>
      </c>
      <c r="L272" s="43">
        <f t="shared" si="30"/>
        <v>3.6</v>
      </c>
    </row>
    <row r="273" spans="2:12" x14ac:dyDescent="0.3">
      <c r="B273" s="36">
        <v>63</v>
      </c>
      <c r="C273">
        <f>115</f>
        <v>115</v>
      </c>
      <c r="D273">
        <v>1440</v>
      </c>
      <c r="E273">
        <v>32.700000000000003</v>
      </c>
      <c r="F273">
        <v>3.34</v>
      </c>
      <c r="I273" s="43">
        <f t="shared" si="29"/>
        <v>71</v>
      </c>
      <c r="J273" s="43">
        <f t="shared" si="29"/>
        <v>115</v>
      </c>
      <c r="K273" s="57">
        <f t="shared" si="29"/>
        <v>35</v>
      </c>
      <c r="L273" s="43">
        <f t="shared" si="30"/>
        <v>3.62</v>
      </c>
    </row>
    <row r="274" spans="2:12" x14ac:dyDescent="0.3">
      <c r="B274" s="36">
        <v>67</v>
      </c>
      <c r="C274">
        <f>115</f>
        <v>115</v>
      </c>
      <c r="D274">
        <v>960</v>
      </c>
      <c r="E274">
        <v>31.8</v>
      </c>
      <c r="F274">
        <v>3.34</v>
      </c>
    </row>
    <row r="275" spans="2:12" x14ac:dyDescent="0.3">
      <c r="B275" s="36">
        <v>67</v>
      </c>
      <c r="C275">
        <f>115</f>
        <v>115</v>
      </c>
      <c r="D275">
        <v>1200</v>
      </c>
      <c r="E275">
        <v>32.799999999999997</v>
      </c>
      <c r="F275">
        <v>3.35</v>
      </c>
    </row>
    <row r="276" spans="2:12" x14ac:dyDescent="0.3">
      <c r="B276" s="36">
        <v>67</v>
      </c>
      <c r="C276">
        <f>115</f>
        <v>115</v>
      </c>
      <c r="D276">
        <v>1440</v>
      </c>
      <c r="E276">
        <v>33.5</v>
      </c>
      <c r="F276">
        <v>3.36</v>
      </c>
    </row>
    <row r="277" spans="2:12" x14ac:dyDescent="0.3">
      <c r="B277" s="36">
        <v>71</v>
      </c>
      <c r="C277">
        <f>115</f>
        <v>115</v>
      </c>
      <c r="D277">
        <v>960</v>
      </c>
      <c r="E277">
        <v>34</v>
      </c>
      <c r="F277">
        <v>3.36</v>
      </c>
    </row>
    <row r="278" spans="2:12" x14ac:dyDescent="0.3">
      <c r="B278" s="36">
        <v>71</v>
      </c>
      <c r="C278">
        <f>115</f>
        <v>115</v>
      </c>
      <c r="D278">
        <v>1200</v>
      </c>
      <c r="E278">
        <v>35</v>
      </c>
      <c r="F278">
        <v>3.37</v>
      </c>
    </row>
    <row r="279" spans="2:12" x14ac:dyDescent="0.3">
      <c r="B279" s="36">
        <v>71</v>
      </c>
      <c r="C279">
        <f>115</f>
        <v>115</v>
      </c>
      <c r="D279">
        <v>1440</v>
      </c>
      <c r="E279">
        <v>35.6</v>
      </c>
      <c r="F279">
        <v>3.38</v>
      </c>
    </row>
  </sheetData>
  <mergeCells count="9">
    <mergeCell ref="Q250:S251"/>
    <mergeCell ref="I258:L258"/>
    <mergeCell ref="I259:L260"/>
    <mergeCell ref="M129:N129"/>
    <mergeCell ref="R140:T140"/>
    <mergeCell ref="R141:T142"/>
    <mergeCell ref="I154:L154"/>
    <mergeCell ref="I155:L156"/>
    <mergeCell ref="Q249:S249"/>
  </mergeCells>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N414"/>
  <sheetViews>
    <sheetView zoomScaleNormal="100" workbookViewId="0">
      <selection activeCell="B9" sqref="B9"/>
    </sheetView>
  </sheetViews>
  <sheetFormatPr defaultColWidth="9.109375" defaultRowHeight="14.4" x14ac:dyDescent="0.3"/>
  <cols>
    <col min="1" max="1" width="26.109375" style="3" customWidth="1"/>
    <col min="2" max="2" width="22.5546875" style="68" customWidth="1"/>
    <col min="3" max="3" width="22.109375" style="68" customWidth="1"/>
    <col min="4" max="4" width="20.33203125" style="68" customWidth="1"/>
    <col min="5" max="5" width="21.88671875" style="68" customWidth="1"/>
    <col min="6" max="6" width="17.88671875" style="3" customWidth="1"/>
    <col min="7" max="12" width="18.33203125" style="3" customWidth="1"/>
    <col min="13" max="13" width="18.33203125" customWidth="1"/>
    <col min="14" max="14" width="37.109375" bestFit="1" customWidth="1"/>
    <col min="15" max="16384" width="9.109375" style="3"/>
  </cols>
  <sheetData>
    <row r="1" spans="1:14" x14ac:dyDescent="0.3">
      <c r="B1" s="3"/>
      <c r="C1" s="3"/>
      <c r="D1" s="3"/>
      <c r="E1" s="3"/>
    </row>
    <row r="2" spans="1:14" x14ac:dyDescent="0.3">
      <c r="B2" s="3"/>
      <c r="C2" s="3"/>
      <c r="D2" s="3"/>
      <c r="E2" s="3"/>
    </row>
    <row r="3" spans="1:14" ht="15.6" x14ac:dyDescent="0.3">
      <c r="A3" s="1" t="s">
        <v>0</v>
      </c>
      <c r="B3" s="2" t="s">
        <v>56</v>
      </c>
      <c r="C3" s="3"/>
      <c r="D3" s="64"/>
      <c r="E3" s="3"/>
      <c r="J3" s="43"/>
      <c r="K3" s="39"/>
      <c r="L3" s="39"/>
      <c r="M3" s="3"/>
      <c r="N3" s="3"/>
    </row>
    <row r="4" spans="1:14" ht="15.6" x14ac:dyDescent="0.3">
      <c r="A4" s="4" t="s">
        <v>1</v>
      </c>
      <c r="B4" s="5" t="s">
        <v>55</v>
      </c>
      <c r="C4" s="3"/>
      <c r="D4" s="3"/>
      <c r="E4" s="3"/>
      <c r="J4" s="43"/>
      <c r="K4" s="39"/>
      <c r="L4" s="39"/>
      <c r="M4" s="3"/>
      <c r="N4" s="3"/>
    </row>
    <row r="5" spans="1:14" ht="15.6" x14ac:dyDescent="0.3">
      <c r="A5" s="4" t="s">
        <v>2</v>
      </c>
      <c r="B5" s="63" t="s">
        <v>67</v>
      </c>
      <c r="C5" s="3"/>
      <c r="D5" s="3"/>
      <c r="E5" s="3"/>
      <c r="H5" s="19"/>
      <c r="J5" s="43"/>
      <c r="K5" s="39"/>
      <c r="L5" s="39"/>
      <c r="M5" s="3"/>
      <c r="N5" s="3"/>
    </row>
    <row r="6" spans="1:14" ht="15.6" x14ac:dyDescent="0.3">
      <c r="A6" s="6" t="s">
        <v>3</v>
      </c>
      <c r="B6" s="7" t="s">
        <v>73</v>
      </c>
      <c r="C6" s="8"/>
      <c r="D6" s="8"/>
      <c r="E6" s="8"/>
      <c r="J6" s="43"/>
      <c r="K6" s="39"/>
      <c r="L6" s="39"/>
      <c r="M6" s="3"/>
      <c r="N6" s="3"/>
    </row>
    <row r="7" spans="1:14" ht="15.6" x14ac:dyDescent="0.3">
      <c r="A7" s="52"/>
      <c r="B7" s="53"/>
      <c r="C7" s="8"/>
      <c r="D7" s="8"/>
      <c r="E7" s="8"/>
      <c r="J7" s="43"/>
      <c r="K7" s="39"/>
      <c r="L7" s="39"/>
      <c r="M7" s="3"/>
      <c r="N7" s="3"/>
    </row>
    <row r="8" spans="1:14" ht="18" customHeight="1" x14ac:dyDescent="0.3">
      <c r="A8" s="4" t="s">
        <v>37</v>
      </c>
      <c r="B8" s="56" t="s">
        <v>77</v>
      </c>
      <c r="C8" s="8"/>
      <c r="D8" s="8"/>
      <c r="E8" s="8"/>
      <c r="M8" s="3"/>
      <c r="N8" s="3"/>
    </row>
    <row r="9" spans="1:14" x14ac:dyDescent="0.3">
      <c r="A9" s="9"/>
      <c r="B9" s="10"/>
      <c r="C9" s="8"/>
      <c r="D9" s="8"/>
      <c r="E9" s="8"/>
      <c r="M9" s="3"/>
      <c r="N9" s="3"/>
    </row>
    <row r="10" spans="1:14" ht="35.25" customHeight="1" x14ac:dyDescent="0.3">
      <c r="A10" s="11" t="s">
        <v>4</v>
      </c>
      <c r="B10" s="12" t="s">
        <v>57</v>
      </c>
      <c r="C10" s="13" t="s">
        <v>58</v>
      </c>
      <c r="D10" s="13" t="s">
        <v>59</v>
      </c>
      <c r="E10" s="14" t="s">
        <v>60</v>
      </c>
      <c r="M10" s="3"/>
      <c r="N10" s="3"/>
    </row>
    <row r="11" spans="1:14" x14ac:dyDescent="0.3">
      <c r="B11" s="75">
        <v>35</v>
      </c>
      <c r="C11" s="76">
        <v>1</v>
      </c>
      <c r="D11" s="77">
        <v>2008434</v>
      </c>
      <c r="E11" s="78">
        <v>365169.8459418182</v>
      </c>
      <c r="F11" s="20"/>
      <c r="I11" s="8"/>
      <c r="J11" s="8"/>
      <c r="M11" s="3"/>
      <c r="N11" s="3"/>
    </row>
    <row r="12" spans="1:14" x14ac:dyDescent="0.3">
      <c r="B12" s="3"/>
      <c r="C12" s="3"/>
      <c r="D12" s="3"/>
      <c r="E12" s="3"/>
      <c r="F12" s="21"/>
      <c r="G12" s="21"/>
      <c r="I12" s="8"/>
      <c r="J12" s="8"/>
      <c r="M12" s="3"/>
      <c r="N12" s="3"/>
    </row>
    <row r="13" spans="1:14" ht="35.25" customHeight="1" x14ac:dyDescent="0.3">
      <c r="A13" s="11" t="s">
        <v>5</v>
      </c>
      <c r="B13" s="12" t="s">
        <v>57</v>
      </c>
      <c r="C13" s="13" t="s">
        <v>58</v>
      </c>
      <c r="D13" s="13" t="s">
        <v>59</v>
      </c>
      <c r="E13" s="14" t="s">
        <v>60</v>
      </c>
      <c r="M13" s="3"/>
      <c r="N13" s="3"/>
    </row>
    <row r="14" spans="1:14" x14ac:dyDescent="0.3">
      <c r="B14" s="15" t="s">
        <v>74</v>
      </c>
      <c r="C14" s="16" t="s">
        <v>74</v>
      </c>
      <c r="D14" s="16" t="s">
        <v>20</v>
      </c>
      <c r="E14" s="17" t="s">
        <v>20</v>
      </c>
      <c r="I14" s="9"/>
      <c r="M14" s="3"/>
      <c r="N14" s="3"/>
    </row>
    <row r="15" spans="1:14" x14ac:dyDescent="0.3">
      <c r="B15" s="72">
        <v>10.1767381972151</v>
      </c>
      <c r="C15" s="71">
        <v>6.6666666666666596E-2</v>
      </c>
      <c r="D15" s="70">
        <v>3800.9045017226563</v>
      </c>
      <c r="E15" s="72">
        <v>783.97278931469998</v>
      </c>
      <c r="F15" s="22"/>
      <c r="G15" s="23"/>
      <c r="I15" s="23"/>
      <c r="J15" s="23"/>
      <c r="M15" s="3"/>
      <c r="N15" s="3"/>
    </row>
    <row r="16" spans="1:14" x14ac:dyDescent="0.3">
      <c r="B16" s="72">
        <v>13.471905634818899</v>
      </c>
      <c r="C16" s="71">
        <v>0.19999999999999901</v>
      </c>
      <c r="D16" s="70">
        <v>58867.657054301089</v>
      </c>
      <c r="E16" s="72">
        <v>4765.6218430428398</v>
      </c>
      <c r="F16" s="22"/>
      <c r="G16" s="23"/>
      <c r="I16" s="23"/>
      <c r="J16" s="23"/>
      <c r="M16" s="3"/>
      <c r="N16" s="3"/>
    </row>
    <row r="17" spans="2:14" x14ac:dyDescent="0.3">
      <c r="B17" s="72">
        <v>15.593693831547901</v>
      </c>
      <c r="C17" s="71">
        <v>0.11291749027308</v>
      </c>
      <c r="D17" s="70">
        <v>87326.254093439638</v>
      </c>
      <c r="E17" s="72">
        <v>9604.9069980396198</v>
      </c>
      <c r="F17" s="22"/>
      <c r="G17" s="23"/>
      <c r="I17" s="23"/>
      <c r="J17" s="23"/>
      <c r="M17" s="3"/>
      <c r="N17" s="3"/>
    </row>
    <row r="18" spans="2:14" x14ac:dyDescent="0.3">
      <c r="B18" s="72">
        <v>16.300860421190499</v>
      </c>
      <c r="C18" s="71">
        <v>0.18348066044267999</v>
      </c>
      <c r="D18" s="70">
        <v>246943.30913521265</v>
      </c>
      <c r="E18" s="72">
        <v>18313.541034767601</v>
      </c>
      <c r="F18" s="22"/>
      <c r="G18" s="23"/>
      <c r="I18" s="23"/>
      <c r="J18" s="23"/>
      <c r="M18" s="3"/>
      <c r="N18" s="3"/>
    </row>
    <row r="19" spans="2:14" x14ac:dyDescent="0.3">
      <c r="B19" s="72">
        <v>16.351340553238298</v>
      </c>
      <c r="C19" s="71">
        <v>0.219085931833397</v>
      </c>
      <c r="D19" s="70">
        <v>469062.62585904147</v>
      </c>
      <c r="E19" s="72">
        <v>24182.442424671699</v>
      </c>
      <c r="F19" s="22"/>
      <c r="G19" s="23"/>
      <c r="I19" s="23"/>
      <c r="J19" s="23"/>
      <c r="M19" s="3"/>
      <c r="N19" s="3"/>
    </row>
    <row r="20" spans="2:14" x14ac:dyDescent="0.3">
      <c r="B20" s="72">
        <v>16.4343039860847</v>
      </c>
      <c r="C20" s="71">
        <v>0.23454777828394299</v>
      </c>
      <c r="D20" s="70">
        <v>503573.6652019436</v>
      </c>
      <c r="E20" s="72">
        <v>25086.380972790699</v>
      </c>
      <c r="F20" s="22"/>
      <c r="G20" s="23"/>
      <c r="I20" s="23"/>
      <c r="J20" s="23"/>
      <c r="L20" s="25"/>
      <c r="M20" s="3"/>
      <c r="N20" s="3"/>
    </row>
    <row r="21" spans="2:14" x14ac:dyDescent="0.3">
      <c r="B21" s="72">
        <v>16.5962645212452</v>
      </c>
      <c r="C21" s="71">
        <v>0.25714387319348198</v>
      </c>
      <c r="D21" s="70">
        <v>497967.95312681526</v>
      </c>
      <c r="E21" s="72">
        <v>27627.1081764017</v>
      </c>
      <c r="F21" s="22"/>
      <c r="G21" s="26"/>
      <c r="I21" s="26"/>
      <c r="J21" s="26"/>
      <c r="L21" s="25"/>
      <c r="M21" s="3"/>
      <c r="N21" s="3"/>
    </row>
    <row r="22" spans="2:14" x14ac:dyDescent="0.3">
      <c r="B22" s="72">
        <v>16.704694961041799</v>
      </c>
      <c r="C22" s="71">
        <v>0.22711957977751801</v>
      </c>
      <c r="D22" s="70">
        <v>487232.91857320321</v>
      </c>
      <c r="E22" s="72">
        <v>25528.434942587101</v>
      </c>
      <c r="F22" s="22"/>
      <c r="G22" s="27"/>
      <c r="I22" s="27"/>
      <c r="J22" s="27"/>
      <c r="L22" s="9"/>
      <c r="M22" s="3"/>
      <c r="N22" s="3"/>
    </row>
    <row r="23" spans="2:14" x14ac:dyDescent="0.3">
      <c r="B23" s="72">
        <v>16.7956288488902</v>
      </c>
      <c r="C23" s="71">
        <v>0.21236867543234</v>
      </c>
      <c r="D23" s="70">
        <v>437474.85161338723</v>
      </c>
      <c r="E23" s="72">
        <v>25078.678710138302</v>
      </c>
      <c r="F23" s="22"/>
      <c r="G23" s="27"/>
      <c r="I23" s="27"/>
      <c r="J23" s="27"/>
      <c r="L23" s="9"/>
      <c r="M23" s="3"/>
      <c r="N23" s="3"/>
    </row>
    <row r="24" spans="2:14" x14ac:dyDescent="0.3">
      <c r="B24" s="72">
        <v>16.798846923358401</v>
      </c>
      <c r="C24" s="71">
        <v>0.235399773026336</v>
      </c>
      <c r="D24" s="70">
        <v>503504.80797586538</v>
      </c>
      <c r="E24" s="72">
        <v>26366.490992475101</v>
      </c>
      <c r="F24" s="22"/>
      <c r="G24" s="27"/>
      <c r="I24" s="27"/>
      <c r="J24" s="27"/>
      <c r="L24" s="10"/>
      <c r="M24" s="3"/>
      <c r="N24" s="3"/>
    </row>
    <row r="25" spans="2:14" x14ac:dyDescent="0.3">
      <c r="B25" s="72">
        <v>16.825024713133899</v>
      </c>
      <c r="C25" s="71">
        <v>0.23181377759881799</v>
      </c>
      <c r="D25" s="70">
        <v>496694.53733007365</v>
      </c>
      <c r="E25" s="72">
        <v>26406.463405001901</v>
      </c>
      <c r="F25" s="22"/>
      <c r="L25" s="10"/>
      <c r="M25" s="3"/>
      <c r="N25" s="3"/>
    </row>
    <row r="26" spans="2:14" x14ac:dyDescent="0.3">
      <c r="B26" s="72">
        <v>17.4919016539822</v>
      </c>
      <c r="C26" s="71">
        <v>0.248889061360897</v>
      </c>
      <c r="D26" s="70">
        <v>531361.94647939259</v>
      </c>
      <c r="E26" s="72">
        <v>29310.382197537801</v>
      </c>
      <c r="F26" s="22"/>
      <c r="L26" s="10"/>
      <c r="M26" s="3"/>
      <c r="N26" s="3"/>
    </row>
    <row r="27" spans="2:14" x14ac:dyDescent="0.3">
      <c r="B27" s="72">
        <v>17.5519603046368</v>
      </c>
      <c r="C27" s="71">
        <v>0.21692067678333901</v>
      </c>
      <c r="D27" s="70">
        <v>464977.74287826446</v>
      </c>
      <c r="E27" s="72">
        <v>27428.1543437689</v>
      </c>
      <c r="F27" s="22"/>
      <c r="G27" s="9"/>
      <c r="I27" s="24"/>
      <c r="J27" s="9"/>
      <c r="L27" s="21"/>
      <c r="M27" s="3"/>
      <c r="N27" s="3"/>
    </row>
    <row r="28" spans="2:14" x14ac:dyDescent="0.3">
      <c r="B28" s="72">
        <v>17.60161396658</v>
      </c>
      <c r="C28" s="71">
        <v>0.25909754219220399</v>
      </c>
      <c r="D28" s="70">
        <v>468496.22685707017</v>
      </c>
      <c r="E28" s="72">
        <v>27733.545995842502</v>
      </c>
      <c r="F28" s="22"/>
      <c r="G28" s="9"/>
      <c r="I28" s="24"/>
      <c r="J28" s="9"/>
      <c r="L28" s="21"/>
      <c r="M28" s="3"/>
      <c r="N28" s="3"/>
    </row>
    <row r="29" spans="2:14" x14ac:dyDescent="0.3">
      <c r="B29" s="72">
        <v>17.688906602948499</v>
      </c>
      <c r="C29" s="71">
        <v>0.227567287559236</v>
      </c>
      <c r="D29" s="70">
        <v>487649.66896794853</v>
      </c>
      <c r="E29" s="72">
        <v>28489.245455534201</v>
      </c>
      <c r="F29" s="22"/>
      <c r="G29" s="9"/>
      <c r="I29" s="24"/>
      <c r="J29" s="9"/>
      <c r="L29" s="21"/>
      <c r="M29" s="3"/>
      <c r="N29" s="3"/>
    </row>
    <row r="30" spans="2:14" x14ac:dyDescent="0.3">
      <c r="B30" s="72">
        <v>17.689030306492</v>
      </c>
      <c r="C30" s="71">
        <v>0.207171086774951</v>
      </c>
      <c r="D30" s="70">
        <v>443110.82483883353</v>
      </c>
      <c r="E30" s="72">
        <v>27256.9375846402</v>
      </c>
      <c r="F30" s="18"/>
      <c r="I30" s="24"/>
      <c r="L30" s="21"/>
      <c r="M30" s="3"/>
      <c r="N30" s="3"/>
    </row>
    <row r="31" spans="2:14" x14ac:dyDescent="0.3">
      <c r="B31" s="72">
        <v>17.725409981777901</v>
      </c>
      <c r="C31" s="71">
        <v>0.27641392514155799</v>
      </c>
      <c r="D31" s="70">
        <v>591761.96652379225</v>
      </c>
      <c r="E31" s="72">
        <v>31575.663967352601</v>
      </c>
      <c r="F31" s="18"/>
      <c r="I31" s="24"/>
      <c r="L31" s="21"/>
      <c r="M31" s="3"/>
      <c r="N31" s="3"/>
    </row>
    <row r="32" spans="2:14" x14ac:dyDescent="0.3">
      <c r="B32" s="72">
        <v>17.7886454048347</v>
      </c>
      <c r="C32" s="71">
        <v>0.27552144116607502</v>
      </c>
      <c r="D32" s="70">
        <v>590122.65551356913</v>
      </c>
      <c r="E32" s="72">
        <v>31638.032996329501</v>
      </c>
      <c r="F32" s="18"/>
      <c r="G32" s="20"/>
      <c r="I32" s="24"/>
      <c r="L32" s="21"/>
      <c r="M32" s="3"/>
      <c r="N32" s="3"/>
    </row>
    <row r="33" spans="1:14" x14ac:dyDescent="0.3">
      <c r="B33" s="72">
        <v>17.916651815319401</v>
      </c>
      <c r="C33" s="71">
        <v>0.25400274823819902</v>
      </c>
      <c r="D33" s="70">
        <v>401059.35426949937</v>
      </c>
      <c r="E33" s="72">
        <v>24212.535442013799</v>
      </c>
      <c r="F33" s="18"/>
      <c r="I33" s="24"/>
      <c r="L33" s="21"/>
      <c r="M33" s="3"/>
      <c r="N33" s="3"/>
    </row>
    <row r="34" spans="1:14" x14ac:dyDescent="0.3">
      <c r="B34" s="72">
        <v>17.986116299281299</v>
      </c>
      <c r="C34" s="71">
        <v>0.29286065681961199</v>
      </c>
      <c r="D34" s="70">
        <v>626651.43772977125</v>
      </c>
      <c r="E34" s="72">
        <v>33351.923986969101</v>
      </c>
      <c r="F34" s="18"/>
      <c r="G34" s="23"/>
      <c r="I34" s="23"/>
      <c r="J34" s="23"/>
      <c r="L34" s="21"/>
      <c r="M34" s="3"/>
      <c r="N34" s="3"/>
    </row>
    <row r="35" spans="1:14" x14ac:dyDescent="0.3">
      <c r="B35" s="72">
        <v>18.2871643521724</v>
      </c>
      <c r="C35" s="71">
        <v>0.100945198496209</v>
      </c>
      <c r="D35" s="70">
        <v>71750.899518995444</v>
      </c>
      <c r="E35" s="72">
        <v>13596.249348671599</v>
      </c>
      <c r="F35" s="18"/>
      <c r="G35" s="23"/>
      <c r="I35" s="23"/>
      <c r="J35" s="23"/>
      <c r="L35" s="10"/>
      <c r="M35" s="3"/>
      <c r="N35" s="3"/>
    </row>
    <row r="36" spans="1:14" x14ac:dyDescent="0.3">
      <c r="B36" s="72">
        <v>18.462618475073899</v>
      </c>
      <c r="C36" s="71">
        <v>0.31943276858941599</v>
      </c>
      <c r="D36" s="70">
        <v>647305.20786862762</v>
      </c>
      <c r="E36" s="72">
        <v>36641.0197914706</v>
      </c>
      <c r="F36" s="18"/>
      <c r="G36" s="23"/>
      <c r="I36" s="23"/>
      <c r="J36" s="23"/>
      <c r="L36" s="10"/>
      <c r="M36" s="3"/>
      <c r="N36" s="3"/>
    </row>
    <row r="37" spans="1:14" x14ac:dyDescent="0.3">
      <c r="A37" s="9"/>
      <c r="B37" s="72">
        <v>18.633632209024</v>
      </c>
      <c r="C37" s="71">
        <v>0.13694012925617799</v>
      </c>
      <c r="D37" s="70">
        <v>121749.23463024119</v>
      </c>
      <c r="E37" s="72">
        <v>17254.2674079444</v>
      </c>
      <c r="F37" s="18"/>
      <c r="G37" s="23"/>
      <c r="I37" s="23"/>
      <c r="J37" s="23"/>
      <c r="L37" s="10"/>
      <c r="M37" s="3"/>
      <c r="N37" s="3"/>
    </row>
    <row r="38" spans="1:14" x14ac:dyDescent="0.3">
      <c r="A38" s="28"/>
      <c r="B38" s="72">
        <v>18.693634646489102</v>
      </c>
      <c r="C38" s="71">
        <v>0.11293154565754</v>
      </c>
      <c r="D38" s="74">
        <v>120527.55373503167</v>
      </c>
      <c r="E38" s="72">
        <v>16910.435700542399</v>
      </c>
      <c r="F38" s="18"/>
      <c r="G38" s="23"/>
      <c r="I38" s="23"/>
      <c r="J38" s="23"/>
      <c r="L38" s="10"/>
      <c r="M38" s="3"/>
      <c r="N38" s="3"/>
    </row>
    <row r="39" spans="1:14" x14ac:dyDescent="0.3">
      <c r="A39" s="9"/>
      <c r="B39" s="72">
        <v>18.737359086701801</v>
      </c>
      <c r="C39" s="71">
        <v>4.7752910001205497E-2</v>
      </c>
      <c r="D39" s="74">
        <v>16952.995449207567</v>
      </c>
      <c r="E39" s="72">
        <v>6926.6362760806296</v>
      </c>
      <c r="F39" s="18"/>
      <c r="G39" s="23"/>
      <c r="I39" s="23"/>
      <c r="J39" s="23"/>
      <c r="L39" s="10"/>
      <c r="M39" s="3"/>
      <c r="N39" s="3"/>
    </row>
    <row r="40" spans="1:14" x14ac:dyDescent="0.3">
      <c r="A40" s="9"/>
      <c r="B40" s="72">
        <v>18.741229820335398</v>
      </c>
      <c r="C40" s="71">
        <v>5.2258893058583299E-2</v>
      </c>
      <c r="D40" s="74">
        <v>18536.643377816905</v>
      </c>
      <c r="E40" s="72">
        <v>7511.4997116164204</v>
      </c>
      <c r="F40" s="18"/>
      <c r="G40" s="26"/>
      <c r="I40" s="26"/>
      <c r="J40" s="26"/>
      <c r="L40" s="10"/>
      <c r="M40" s="3"/>
      <c r="N40" s="3"/>
    </row>
    <row r="41" spans="1:14" x14ac:dyDescent="0.3">
      <c r="A41" s="9"/>
      <c r="B41" s="72">
        <v>18.742490594276301</v>
      </c>
      <c r="C41" s="71">
        <v>0.28956114473066302</v>
      </c>
      <c r="D41" s="74">
        <v>524115.64564528142</v>
      </c>
      <c r="E41" s="72">
        <v>34158.991105798203</v>
      </c>
      <c r="F41" s="18"/>
      <c r="G41" s="27"/>
      <c r="I41" s="27"/>
      <c r="J41" s="27"/>
      <c r="L41" s="10"/>
      <c r="M41" s="3"/>
      <c r="N41" s="3"/>
    </row>
    <row r="42" spans="1:14" x14ac:dyDescent="0.3">
      <c r="A42" s="9"/>
      <c r="B42" s="72">
        <v>18.748397137759198</v>
      </c>
      <c r="C42" s="71">
        <v>0.28665659149879502</v>
      </c>
      <c r="D42" s="74">
        <v>612538.35055659839</v>
      </c>
      <c r="E42" s="72">
        <v>36044.490403140997</v>
      </c>
      <c r="F42" s="18"/>
      <c r="G42" s="27"/>
      <c r="I42" s="27"/>
      <c r="J42" s="27"/>
      <c r="L42" s="10"/>
      <c r="M42" s="3"/>
      <c r="N42" s="3"/>
    </row>
    <row r="43" spans="1:14" x14ac:dyDescent="0.3">
      <c r="A43" s="9"/>
      <c r="B43" s="72">
        <v>18.8048889326056</v>
      </c>
      <c r="C43" s="71">
        <v>4.7196640044455798E-2</v>
      </c>
      <c r="D43" s="73">
        <v>16748.512134129021</v>
      </c>
      <c r="E43" s="72">
        <v>7006.2391380039599</v>
      </c>
      <c r="F43" s="18"/>
      <c r="G43" s="27"/>
      <c r="I43" s="27"/>
      <c r="J43" s="27"/>
      <c r="K43" s="21"/>
      <c r="L43" s="21"/>
      <c r="M43" s="3"/>
      <c r="N43" s="3"/>
    </row>
    <row r="44" spans="1:14" x14ac:dyDescent="0.3">
      <c r="A44" s="9"/>
      <c r="B44" s="72">
        <v>18.805885180938802</v>
      </c>
      <c r="C44" s="71">
        <v>0.30875001414839198</v>
      </c>
      <c r="D44" s="74">
        <v>574920.18275881233</v>
      </c>
      <c r="E44" s="72">
        <v>35919.048182305902</v>
      </c>
      <c r="F44" s="18"/>
      <c r="J44" s="49"/>
      <c r="K44" s="10"/>
      <c r="L44" s="10"/>
      <c r="M44" s="3"/>
      <c r="N44" s="3"/>
    </row>
    <row r="45" spans="1:14" x14ac:dyDescent="0.3">
      <c r="A45" s="9"/>
      <c r="B45" s="72">
        <v>18.8583052367294</v>
      </c>
      <c r="C45" s="71">
        <v>0.31048682026343399</v>
      </c>
      <c r="D45" s="74">
        <v>663045.74313045165</v>
      </c>
      <c r="E45" s="72">
        <v>37963.7006589909</v>
      </c>
      <c r="F45" s="18"/>
      <c r="M45" s="3"/>
      <c r="N45" s="3"/>
    </row>
    <row r="46" spans="1:14" x14ac:dyDescent="0.3">
      <c r="A46" s="9"/>
      <c r="B46" s="72">
        <v>18.949340189084499</v>
      </c>
      <c r="C46" s="71">
        <v>0.31243154478191498</v>
      </c>
      <c r="D46" s="73">
        <v>666043.40299610153</v>
      </c>
      <c r="E46" s="72">
        <v>38636.476377430503</v>
      </c>
      <c r="G46" s="9"/>
      <c r="I46" s="9"/>
      <c r="M46" s="3"/>
      <c r="N46" s="3"/>
    </row>
    <row r="47" spans="1:14" x14ac:dyDescent="0.3">
      <c r="A47" s="9"/>
      <c r="B47" s="72">
        <v>19.000137484408899</v>
      </c>
      <c r="C47" s="71">
        <v>0.23878080353755601</v>
      </c>
      <c r="D47" s="74">
        <v>509162.21411085461</v>
      </c>
      <c r="E47" s="72">
        <v>33962.212329595997</v>
      </c>
      <c r="G47" s="9"/>
      <c r="I47" s="9"/>
      <c r="M47" s="3"/>
      <c r="N47" s="3"/>
    </row>
    <row r="48" spans="1:14" x14ac:dyDescent="0.3">
      <c r="A48" s="9"/>
      <c r="B48" s="72">
        <v>19.198650788443398</v>
      </c>
      <c r="C48" s="71">
        <v>0.33860571722455801</v>
      </c>
      <c r="D48" s="74">
        <v>682199.11367587908</v>
      </c>
      <c r="E48" s="72">
        <v>40652.3217008918</v>
      </c>
      <c r="G48" s="9"/>
      <c r="I48" s="9"/>
      <c r="M48" s="3"/>
      <c r="N48" s="3"/>
    </row>
    <row r="49" spans="1:14" x14ac:dyDescent="0.3">
      <c r="A49" s="9"/>
      <c r="B49" s="72">
        <v>19.2910010330015</v>
      </c>
      <c r="C49" s="71">
        <v>0.14333617957924399</v>
      </c>
      <c r="D49" s="69">
        <v>152617.53110485946</v>
      </c>
      <c r="E49" s="72">
        <v>21023.276374591402</v>
      </c>
      <c r="M49" s="3"/>
      <c r="N49" s="3"/>
    </row>
    <row r="50" spans="1:14" x14ac:dyDescent="0.3">
      <c r="A50" s="9"/>
      <c r="B50" s="72">
        <v>19.314668984871901</v>
      </c>
      <c r="C50" s="71">
        <v>0.147660378460785</v>
      </c>
      <c r="D50" s="69">
        <v>157194.72683114724</v>
      </c>
      <c r="E50" s="72">
        <v>21493.364014720599</v>
      </c>
      <c r="M50" s="3"/>
      <c r="N50" s="3"/>
    </row>
    <row r="51" spans="1:14" x14ac:dyDescent="0.3">
      <c r="A51" s="9"/>
      <c r="B51" s="72">
        <v>19.378109113360399</v>
      </c>
      <c r="C51" s="71">
        <v>0.38430391755605597</v>
      </c>
      <c r="D51" s="69">
        <v>820097.53872896614</v>
      </c>
      <c r="E51" s="72">
        <v>44883.312283129999</v>
      </c>
      <c r="M51" s="3"/>
      <c r="N51" s="3"/>
    </row>
    <row r="52" spans="1:14" x14ac:dyDescent="0.3">
      <c r="B52" s="72">
        <v>19.393062315738799</v>
      </c>
      <c r="C52" s="71">
        <v>4.91984029857181E-2</v>
      </c>
      <c r="D52" s="69">
        <v>13590.082120116898</v>
      </c>
      <c r="E52" s="72">
        <v>6014.4239128636</v>
      </c>
      <c r="M52" s="3"/>
      <c r="N52" s="3"/>
    </row>
    <row r="53" spans="1:14" x14ac:dyDescent="0.3">
      <c r="B53" s="72">
        <v>19.505250966390498</v>
      </c>
      <c r="C53" s="71">
        <v>9.47289334285627E-2</v>
      </c>
      <c r="D53" s="69">
        <v>67191.032855972662</v>
      </c>
      <c r="E53" s="72">
        <v>14394.437655973101</v>
      </c>
      <c r="M53" s="3"/>
      <c r="N53" s="3"/>
    </row>
    <row r="54" spans="1:14" x14ac:dyDescent="0.3">
      <c r="B54" s="72">
        <v>19.5786265600718</v>
      </c>
      <c r="C54" s="71">
        <v>5.8200201817569297E-2</v>
      </c>
      <c r="D54" s="69">
        <v>20596.898313347356</v>
      </c>
      <c r="E54" s="72">
        <v>8708.7653370528606</v>
      </c>
      <c r="M54" s="3"/>
      <c r="N54" s="3"/>
    </row>
    <row r="55" spans="1:14" x14ac:dyDescent="0.3">
      <c r="B55" s="72">
        <v>19.703468883262499</v>
      </c>
      <c r="C55" s="71">
        <v>0.107739473318714</v>
      </c>
      <c r="D55" s="69">
        <v>76276.53031051431</v>
      </c>
      <c r="E55" s="72">
        <v>16426.2214295794</v>
      </c>
      <c r="M55" s="3"/>
      <c r="N55" s="3"/>
    </row>
    <row r="56" spans="1:14" x14ac:dyDescent="0.3">
      <c r="B56" s="72">
        <v>19.704921671943101</v>
      </c>
      <c r="C56" s="71">
        <v>0.36600509735218201</v>
      </c>
      <c r="D56" s="69">
        <v>780278.98119960877</v>
      </c>
      <c r="E56" s="72">
        <v>45542.629272387298</v>
      </c>
      <c r="M56" s="3"/>
      <c r="N56" s="3"/>
    </row>
    <row r="57" spans="1:14" x14ac:dyDescent="0.3">
      <c r="B57" s="72">
        <v>19.8015511836063</v>
      </c>
      <c r="C57" s="71">
        <v>0.35193928383169898</v>
      </c>
      <c r="D57" s="69">
        <v>750036.88148551108</v>
      </c>
      <c r="E57" s="72">
        <v>45222.3790582113</v>
      </c>
      <c r="M57" s="3"/>
      <c r="N57" s="3"/>
    </row>
    <row r="58" spans="1:14" x14ac:dyDescent="0.3">
      <c r="B58" s="72">
        <v>19.813923497216098</v>
      </c>
      <c r="C58" s="71">
        <v>0.17576567543154001</v>
      </c>
      <c r="D58" s="69">
        <v>186731.79306305628</v>
      </c>
      <c r="E58" s="72">
        <v>25558.132216311798</v>
      </c>
      <c r="M58" s="3"/>
      <c r="N58" s="3"/>
    </row>
    <row r="59" spans="1:14" x14ac:dyDescent="0.3">
      <c r="B59" s="72">
        <v>20.0082551546</v>
      </c>
      <c r="C59" s="71">
        <v>0.35786812415980201</v>
      </c>
      <c r="D59" s="69">
        <v>761942.89657239069</v>
      </c>
      <c r="E59" s="72">
        <v>46619.427112477701</v>
      </c>
      <c r="F59" s="29"/>
      <c r="M59" s="3"/>
      <c r="N59" s="3"/>
    </row>
    <row r="60" spans="1:14" x14ac:dyDescent="0.3">
      <c r="B60" s="72">
        <v>20.088792824136601</v>
      </c>
      <c r="C60" s="71">
        <v>0.393329101180388</v>
      </c>
      <c r="D60" s="69">
        <v>837640.01773264259</v>
      </c>
      <c r="E60" s="72">
        <v>49556.883310466103</v>
      </c>
      <c r="F60" s="29"/>
      <c r="M60" s="3"/>
      <c r="N60" s="3"/>
    </row>
    <row r="61" spans="1:14" x14ac:dyDescent="0.3">
      <c r="B61" s="72">
        <v>20.179787339228501</v>
      </c>
      <c r="C61" s="71">
        <v>0.36411677667862402</v>
      </c>
      <c r="D61" s="69">
        <v>775342.44809848454</v>
      </c>
      <c r="E61" s="72">
        <v>47797.553540892703</v>
      </c>
      <c r="F61" s="29"/>
      <c r="M61" s="3"/>
      <c r="N61" s="3"/>
    </row>
    <row r="62" spans="1:14" x14ac:dyDescent="0.3">
      <c r="B62" s="72">
        <v>20.219429299643199</v>
      </c>
      <c r="C62" s="71">
        <v>0.31068479438791502</v>
      </c>
      <c r="D62" s="69">
        <v>664036.5365217533</v>
      </c>
      <c r="E62" s="72">
        <v>44282.581843004999</v>
      </c>
      <c r="F62" s="29"/>
      <c r="M62" s="3"/>
      <c r="N62" s="3"/>
    </row>
    <row r="63" spans="1:14" x14ac:dyDescent="0.3">
      <c r="B63" s="72">
        <v>20.281030955369999</v>
      </c>
      <c r="C63" s="71">
        <v>0.43261254610217598</v>
      </c>
      <c r="D63" s="69">
        <v>921099.83691623982</v>
      </c>
      <c r="E63" s="72">
        <v>52955.200551309499</v>
      </c>
      <c r="F63" s="29"/>
      <c r="M63" s="3"/>
      <c r="N63" s="3"/>
    </row>
    <row r="64" spans="1:14" x14ac:dyDescent="0.3">
      <c r="B64" s="72">
        <v>20.355161793099601</v>
      </c>
      <c r="C64" s="71">
        <v>0.27822755265997201</v>
      </c>
      <c r="D64" s="69">
        <v>586449.02978637442</v>
      </c>
      <c r="E64" s="72">
        <v>43272.885696791003</v>
      </c>
      <c r="F64" s="29"/>
      <c r="M64" s="3"/>
      <c r="N64" s="3"/>
    </row>
    <row r="65" spans="2:14" x14ac:dyDescent="0.3">
      <c r="B65" s="72">
        <v>20.439573865589299</v>
      </c>
      <c r="C65" s="71">
        <v>0.428839839076392</v>
      </c>
      <c r="D65" s="69">
        <v>912664.18864878058</v>
      </c>
      <c r="E65" s="72">
        <v>53640.859917121001</v>
      </c>
      <c r="F65" s="29"/>
      <c r="M65" s="3"/>
      <c r="N65" s="3"/>
    </row>
    <row r="66" spans="2:14" x14ac:dyDescent="0.3">
      <c r="B66" s="72">
        <v>20.484263073387901</v>
      </c>
      <c r="C66" s="71">
        <v>0.33846944869055001</v>
      </c>
      <c r="D66" s="69">
        <v>718652.79614575568</v>
      </c>
      <c r="E66" s="72">
        <v>47654.467380318099</v>
      </c>
      <c r="F66" s="29"/>
      <c r="M66" s="3"/>
      <c r="N66" s="3"/>
    </row>
    <row r="67" spans="2:14" x14ac:dyDescent="0.3">
      <c r="B67" s="72">
        <v>20.5734909542658</v>
      </c>
      <c r="C67" s="71">
        <v>0.36509271374159902</v>
      </c>
      <c r="D67" s="69">
        <v>776521.94536483078</v>
      </c>
      <c r="E67" s="72">
        <v>50128.837821443602</v>
      </c>
      <c r="F67" s="29"/>
      <c r="M67" s="3"/>
      <c r="N67" s="3"/>
    </row>
    <row r="68" spans="2:14" x14ac:dyDescent="0.3">
      <c r="B68" s="72">
        <v>20.672964483704298</v>
      </c>
      <c r="C68" s="71">
        <v>0.37362758482073399</v>
      </c>
      <c r="D68" s="69">
        <v>794519.14315627038</v>
      </c>
      <c r="E68" s="72">
        <v>51203.344463951602</v>
      </c>
      <c r="F68" s="29"/>
      <c r="M68" s="3"/>
      <c r="N68" s="3"/>
    </row>
    <row r="69" spans="2:14" x14ac:dyDescent="0.3">
      <c r="B69" s="72">
        <v>21.037974143428698</v>
      </c>
      <c r="C69" s="71">
        <v>0.490825036338431</v>
      </c>
      <c r="D69" s="69">
        <v>1042917.7649247306</v>
      </c>
      <c r="E69" s="72">
        <v>61900.324250509198</v>
      </c>
      <c r="F69" s="29"/>
      <c r="M69" s="3"/>
      <c r="N69" s="3"/>
    </row>
    <row r="70" spans="2:14" x14ac:dyDescent="0.3">
      <c r="B70" s="72">
        <v>21.0546801215458</v>
      </c>
      <c r="C70" s="71">
        <v>0.42141076680737499</v>
      </c>
      <c r="D70" s="69">
        <v>895220.58891888359</v>
      </c>
      <c r="E70" s="72">
        <v>57023.777329349599</v>
      </c>
      <c r="F70" s="29"/>
      <c r="M70" s="3"/>
      <c r="N70" s="3"/>
    </row>
    <row r="71" spans="2:14" x14ac:dyDescent="0.3">
      <c r="B71" s="72">
        <v>21.0900242994332</v>
      </c>
      <c r="C71" s="71">
        <v>0.37928728588904898</v>
      </c>
      <c r="D71" s="69">
        <v>805618.90790597105</v>
      </c>
      <c r="E71" s="72">
        <v>54076.4305277975</v>
      </c>
      <c r="F71" s="29"/>
      <c r="M71" s="3"/>
      <c r="N71" s="3"/>
    </row>
    <row r="72" spans="2:14" x14ac:dyDescent="0.3">
      <c r="B72" s="72">
        <v>21.123457238159499</v>
      </c>
      <c r="C72" s="71">
        <v>0.41024979074241302</v>
      </c>
      <c r="D72" s="69">
        <v>871226.81686043297</v>
      </c>
      <c r="E72" s="72">
        <v>56797.356930951202</v>
      </c>
      <c r="F72" s="29"/>
      <c r="M72" s="3"/>
      <c r="N72" s="3"/>
    </row>
    <row r="73" spans="2:14" x14ac:dyDescent="0.3">
      <c r="B73" s="72">
        <v>21.192415075037701</v>
      </c>
      <c r="C73" s="71">
        <v>0.43521557817455903</v>
      </c>
      <c r="D73" s="69">
        <v>924234.29510775837</v>
      </c>
      <c r="E73" s="72">
        <v>58880.544039282198</v>
      </c>
      <c r="F73" s="29"/>
      <c r="M73" s="3"/>
      <c r="N73" s="3"/>
    </row>
    <row r="74" spans="2:14" x14ac:dyDescent="0.3">
      <c r="B74" s="72">
        <v>21.473881114429801</v>
      </c>
      <c r="C74" s="71">
        <v>0.41708654623192698</v>
      </c>
      <c r="D74" s="69">
        <v>884961.17100913962</v>
      </c>
      <c r="E74" s="72">
        <v>59371.081110881802</v>
      </c>
      <c r="F74" s="29"/>
      <c r="M74" s="3"/>
      <c r="N74" s="3"/>
    </row>
    <row r="75" spans="2:14" x14ac:dyDescent="0.3">
      <c r="B75" s="72">
        <v>21.481197600352999</v>
      </c>
      <c r="C75" s="71">
        <v>0.44158036515156801</v>
      </c>
      <c r="D75" s="69">
        <v>936977.25470236712</v>
      </c>
      <c r="E75" s="72">
        <v>61261.852408876897</v>
      </c>
      <c r="F75" s="29"/>
      <c r="M75" s="3"/>
      <c r="N75" s="3"/>
    </row>
    <row r="76" spans="2:14" x14ac:dyDescent="0.3">
      <c r="B76" s="72">
        <v>21.5146843540719</v>
      </c>
      <c r="C76" s="71">
        <v>0.37974209644252099</v>
      </c>
      <c r="D76" s="69">
        <v>805565.53029930522</v>
      </c>
      <c r="E76" s="72">
        <v>56737.991020572103</v>
      </c>
      <c r="F76" s="29"/>
      <c r="M76" s="3"/>
      <c r="N76" s="3"/>
    </row>
    <row r="77" spans="2:14" x14ac:dyDescent="0.3">
      <c r="B77" s="72">
        <v>21.552590100920298</v>
      </c>
      <c r="C77" s="71">
        <v>0.37935722310702802</v>
      </c>
      <c r="D77" s="69">
        <v>722072.64319805766</v>
      </c>
      <c r="E77" s="72">
        <v>54159.706321774</v>
      </c>
      <c r="F77" s="29"/>
      <c r="M77" s="3"/>
      <c r="N77" s="3"/>
    </row>
    <row r="78" spans="2:14" x14ac:dyDescent="0.3">
      <c r="B78" s="72">
        <v>21.5752264117531</v>
      </c>
      <c r="C78" s="71">
        <v>0.42505064042307</v>
      </c>
      <c r="D78" s="69">
        <v>901420.16589732561</v>
      </c>
      <c r="E78" s="72">
        <v>60699.2165481665</v>
      </c>
      <c r="F78" s="29"/>
      <c r="M78" s="3"/>
      <c r="N78" s="3"/>
    </row>
    <row r="79" spans="2:14" x14ac:dyDescent="0.3">
      <c r="B79" s="72">
        <v>21.610379177994201</v>
      </c>
      <c r="C79" s="71">
        <v>0.368787867498164</v>
      </c>
      <c r="D79" s="69">
        <v>782071.91737338353</v>
      </c>
      <c r="E79" s="72">
        <v>56498.138355536903</v>
      </c>
      <c r="F79" s="29"/>
      <c r="M79" s="3"/>
      <c r="N79" s="3"/>
    </row>
    <row r="80" spans="2:14" x14ac:dyDescent="0.3">
      <c r="B80" s="72">
        <v>21.7394649296645</v>
      </c>
      <c r="C80" s="71">
        <v>0.46916551308833199</v>
      </c>
      <c r="D80" s="69">
        <v>994790.11905998725</v>
      </c>
      <c r="E80" s="72">
        <v>65192.088399190099</v>
      </c>
      <c r="F80" s="29"/>
      <c r="M80" s="3"/>
      <c r="N80" s="3"/>
    </row>
    <row r="81" spans="2:14" x14ac:dyDescent="0.3">
      <c r="B81" s="72">
        <v>21.793082114197201</v>
      </c>
      <c r="C81" s="71">
        <v>0.24354063135287601</v>
      </c>
      <c r="D81" s="69">
        <v>292494.07374151726</v>
      </c>
      <c r="E81" s="72">
        <v>38616.109772187898</v>
      </c>
      <c r="F81" s="29"/>
      <c r="M81" s="3"/>
      <c r="N81" s="3"/>
    </row>
    <row r="82" spans="2:14" x14ac:dyDescent="0.3">
      <c r="B82" s="72">
        <v>21.795424697019001</v>
      </c>
      <c r="C82" s="71">
        <v>0.38269770792869401</v>
      </c>
      <c r="D82" s="69">
        <v>811136.82436873461</v>
      </c>
      <c r="E82" s="72">
        <v>58795.987191982902</v>
      </c>
      <c r="F82" s="29"/>
      <c r="M82" s="3"/>
      <c r="N82" s="3"/>
    </row>
    <row r="83" spans="2:14" x14ac:dyDescent="0.3">
      <c r="B83" s="72">
        <v>21.806122864681001</v>
      </c>
      <c r="C83" s="71">
        <v>0.44608300886889002</v>
      </c>
      <c r="D83" s="69">
        <v>945525.71963027387</v>
      </c>
      <c r="E83" s="72">
        <v>64003.218597849002</v>
      </c>
      <c r="F83" s="29"/>
      <c r="M83" s="3"/>
      <c r="N83" s="3"/>
    </row>
    <row r="84" spans="2:14" x14ac:dyDescent="0.3">
      <c r="B84" s="72">
        <v>21.819617400903201</v>
      </c>
      <c r="C84" s="71">
        <v>0.50785008581712199</v>
      </c>
      <c r="D84" s="69">
        <v>1076534.8601346139</v>
      </c>
      <c r="E84" s="72">
        <v>68987.257052148707</v>
      </c>
      <c r="F84" s="29"/>
      <c r="M84" s="3"/>
      <c r="N84" s="3"/>
    </row>
    <row r="85" spans="2:14" x14ac:dyDescent="0.3">
      <c r="B85" s="72">
        <v>21.881093283827401</v>
      </c>
      <c r="C85" s="71">
        <v>0.43072649604500302</v>
      </c>
      <c r="D85" s="69">
        <v>912791.20980710164</v>
      </c>
      <c r="E85" s="72">
        <v>63213.442619929701</v>
      </c>
      <c r="F85" s="29"/>
      <c r="M85" s="3"/>
      <c r="N85" s="3"/>
    </row>
    <row r="86" spans="2:14" x14ac:dyDescent="0.3">
      <c r="B86" s="72">
        <v>21.9246965195575</v>
      </c>
      <c r="C86" s="71">
        <v>0.48677829781444698</v>
      </c>
      <c r="D86" s="69">
        <v>1031564.9613674476</v>
      </c>
      <c r="E86" s="72">
        <v>67968.791446613104</v>
      </c>
      <c r="F86" s="29"/>
      <c r="M86" s="3"/>
      <c r="N86" s="3"/>
    </row>
    <row r="87" spans="2:14" x14ac:dyDescent="0.3">
      <c r="B87" s="72">
        <v>21.944155366733</v>
      </c>
      <c r="C87" s="71">
        <v>0.44966645049647302</v>
      </c>
      <c r="D87" s="69">
        <v>952809.07673302444</v>
      </c>
      <c r="E87" s="72">
        <v>65125.308017950701</v>
      </c>
      <c r="F87" s="29"/>
      <c r="M87" s="3"/>
      <c r="N87" s="3"/>
    </row>
    <row r="88" spans="2:14" x14ac:dyDescent="0.3">
      <c r="B88" s="72">
        <v>22.0414546795284</v>
      </c>
      <c r="C88" s="71">
        <v>0.47154348858733303</v>
      </c>
      <c r="D88" s="69">
        <v>998903.2154591385</v>
      </c>
      <c r="E88" s="72">
        <v>67590.725174527193</v>
      </c>
      <c r="F88" s="29"/>
      <c r="M88" s="3"/>
      <c r="N88" s="3"/>
    </row>
    <row r="89" spans="2:14" x14ac:dyDescent="0.3">
      <c r="B89" s="72">
        <v>22.083042215688199</v>
      </c>
      <c r="C89" s="71">
        <v>0.446513847034194</v>
      </c>
      <c r="D89" s="69">
        <v>945198.13194221084</v>
      </c>
      <c r="E89" s="72">
        <v>66728.303183410899</v>
      </c>
    </row>
    <row r="90" spans="2:14" x14ac:dyDescent="0.3">
      <c r="B90" s="72">
        <v>22.161699377165</v>
      </c>
      <c r="C90" s="71">
        <v>0.52021921670274196</v>
      </c>
      <c r="D90" s="69">
        <v>1100802.4290437687</v>
      </c>
      <c r="E90" s="72">
        <v>74074.635574911896</v>
      </c>
    </row>
    <row r="91" spans="2:14" x14ac:dyDescent="0.3">
      <c r="B91" s="72">
        <v>22.240772825372201</v>
      </c>
      <c r="C91" s="71">
        <v>0.45246737423178801</v>
      </c>
      <c r="D91" s="69">
        <v>957869.75162467337</v>
      </c>
      <c r="E91" s="72">
        <v>67499.893387731994</v>
      </c>
    </row>
    <row r="92" spans="2:14" x14ac:dyDescent="0.3">
      <c r="B92" s="72">
        <v>22.2621135598507</v>
      </c>
      <c r="C92" s="71">
        <v>0.56203484587701902</v>
      </c>
      <c r="D92" s="69">
        <v>1189997.4137518653</v>
      </c>
      <c r="E92" s="72">
        <v>76709.067801887402</v>
      </c>
    </row>
    <row r="93" spans="2:14" x14ac:dyDescent="0.3">
      <c r="B93" s="72">
        <v>22.289096277650799</v>
      </c>
      <c r="C93" s="71">
        <v>0.411878492104995</v>
      </c>
      <c r="D93" s="69">
        <v>871728.17357235099</v>
      </c>
      <c r="E93" s="72">
        <v>64504.382438600202</v>
      </c>
    </row>
    <row r="94" spans="2:14" x14ac:dyDescent="0.3">
      <c r="B94" s="72">
        <v>22.428501315362599</v>
      </c>
      <c r="C94" s="71">
        <v>0.47169684794113598</v>
      </c>
      <c r="D94" s="69">
        <v>997998.76917890867</v>
      </c>
      <c r="E94" s="72">
        <v>70541.766349944301</v>
      </c>
    </row>
    <row r="95" spans="2:14" x14ac:dyDescent="0.3">
      <c r="B95" s="72">
        <v>22.5053228649418</v>
      </c>
      <c r="C95" s="71">
        <v>3.3333333333333298E-2</v>
      </c>
      <c r="D95" s="69">
        <v>3900.1410812413942</v>
      </c>
      <c r="E95" s="72">
        <v>5593.8083036919297</v>
      </c>
    </row>
    <row r="96" spans="2:14" x14ac:dyDescent="0.3">
      <c r="B96" s="72">
        <v>22.537582189845999</v>
      </c>
      <c r="C96" s="71">
        <v>0.48292953923519399</v>
      </c>
      <c r="D96" s="69">
        <v>1021470.6377427541</v>
      </c>
      <c r="E96" s="72">
        <v>72267.9119129545</v>
      </c>
    </row>
    <row r="97" spans="2:5" x14ac:dyDescent="0.3">
      <c r="B97" s="72">
        <v>22.688132311078601</v>
      </c>
      <c r="C97" s="71">
        <v>1.6666666666666601E-2</v>
      </c>
      <c r="D97" s="69">
        <v>933.87578125980792</v>
      </c>
      <c r="E97" s="72">
        <v>2618.2029588146202</v>
      </c>
    </row>
    <row r="98" spans="2:5" x14ac:dyDescent="0.3">
      <c r="B98" s="72">
        <v>22.699541937208298</v>
      </c>
      <c r="C98" s="71">
        <v>0.51133757062210194</v>
      </c>
      <c r="D98" s="69">
        <v>1080982.1233505867</v>
      </c>
      <c r="E98" s="72">
        <v>76101.396936441801</v>
      </c>
    </row>
    <row r="99" spans="2:5" x14ac:dyDescent="0.3">
      <c r="B99" s="72">
        <v>22.735334216842499</v>
      </c>
      <c r="C99" s="71">
        <v>0.52282679972856305</v>
      </c>
      <c r="D99" s="69">
        <v>1105229.4306786945</v>
      </c>
      <c r="E99" s="72">
        <v>77275.054856485003</v>
      </c>
    </row>
    <row r="100" spans="2:5" x14ac:dyDescent="0.3">
      <c r="B100" s="72">
        <v>22.759592064443801</v>
      </c>
      <c r="C100" s="71">
        <v>0.52479308714996198</v>
      </c>
      <c r="D100" s="69">
        <v>1109318.1163802606</v>
      </c>
      <c r="E100" s="72">
        <v>77620.907482426701</v>
      </c>
    </row>
    <row r="101" spans="2:5" x14ac:dyDescent="0.3">
      <c r="B101" s="72">
        <v>22.767791589390701</v>
      </c>
      <c r="C101" s="71">
        <v>0.52607940652992002</v>
      </c>
      <c r="D101" s="69">
        <v>1111749.8471265545</v>
      </c>
      <c r="E101" s="72">
        <v>78278.463876358102</v>
      </c>
    </row>
    <row r="102" spans="2:5" x14ac:dyDescent="0.3">
      <c r="B102" s="72">
        <v>22.838654388796499</v>
      </c>
      <c r="C102" s="71">
        <v>0.50360824822844696</v>
      </c>
      <c r="D102" s="69">
        <v>1064223.0201129881</v>
      </c>
      <c r="E102" s="72">
        <v>76433.579662744101</v>
      </c>
    </row>
    <row r="103" spans="2:5" x14ac:dyDescent="0.3">
      <c r="B103" s="72">
        <v>22.8474791924566</v>
      </c>
      <c r="C103" s="71">
        <v>0.44413772591477702</v>
      </c>
      <c r="D103" s="69">
        <v>938393.68591072736</v>
      </c>
      <c r="E103" s="72">
        <v>71370.916173761099</v>
      </c>
    </row>
    <row r="104" spans="2:5" x14ac:dyDescent="0.3">
      <c r="B104" s="72">
        <v>22.863725767754499</v>
      </c>
      <c r="C104" s="71">
        <v>0.38914028969676001</v>
      </c>
      <c r="D104" s="69">
        <v>696841.75797132519</v>
      </c>
      <c r="E104" s="72">
        <v>63236.969532208503</v>
      </c>
    </row>
    <row r="105" spans="2:5" x14ac:dyDescent="0.3">
      <c r="B105" s="72">
        <v>22.864493431678799</v>
      </c>
      <c r="C105" s="71">
        <v>0.51001693865124398</v>
      </c>
      <c r="D105" s="69">
        <v>1077685.654495806</v>
      </c>
      <c r="E105" s="72">
        <v>77212.325092048995</v>
      </c>
    </row>
    <row r="106" spans="2:5" x14ac:dyDescent="0.3">
      <c r="B106" s="72">
        <v>22.911393748755</v>
      </c>
      <c r="C106" s="71">
        <v>0.51960606494177297</v>
      </c>
      <c r="D106" s="69">
        <v>1097804.3475729616</v>
      </c>
      <c r="E106" s="72">
        <v>78436.284599358507</v>
      </c>
    </row>
    <row r="107" spans="2:5" x14ac:dyDescent="0.3">
      <c r="B107" s="72">
        <v>22.9266748328881</v>
      </c>
      <c r="C107" s="71">
        <v>0.42791190708277399</v>
      </c>
      <c r="D107" s="69">
        <v>903747.01648302726</v>
      </c>
      <c r="E107" s="72">
        <v>70717.457572861196</v>
      </c>
    </row>
    <row r="108" spans="2:5" x14ac:dyDescent="0.3">
      <c r="B108" s="72">
        <v>23.002856432357099</v>
      </c>
      <c r="C108" s="71">
        <v>0.50354973547021997</v>
      </c>
      <c r="D108" s="69">
        <v>1063527.9384760316</v>
      </c>
      <c r="E108" s="72">
        <v>77782.346333295602</v>
      </c>
    </row>
    <row r="109" spans="2:5" x14ac:dyDescent="0.3">
      <c r="B109" s="72">
        <v>23.030153058531202</v>
      </c>
      <c r="C109" s="71">
        <v>0.46913444387269398</v>
      </c>
      <c r="D109" s="69">
        <v>990685.42200497398</v>
      </c>
      <c r="E109" s="72">
        <v>74974.107725603404</v>
      </c>
    </row>
    <row r="110" spans="2:5" x14ac:dyDescent="0.3">
      <c r="B110" s="72">
        <v>23.086652503127201</v>
      </c>
      <c r="C110" s="71">
        <v>0.510665897526001</v>
      </c>
      <c r="D110" s="69">
        <v>1078283.3572330305</v>
      </c>
      <c r="E110" s="72">
        <v>79098.431690504003</v>
      </c>
    </row>
    <row r="111" spans="2:5" x14ac:dyDescent="0.3">
      <c r="B111" s="72">
        <v>23.104245658659401</v>
      </c>
      <c r="C111" s="71">
        <v>0.24910332675445301</v>
      </c>
      <c r="D111" s="69">
        <v>303305.30447958701</v>
      </c>
      <c r="E111" s="72">
        <v>44613.495035265099</v>
      </c>
    </row>
    <row r="112" spans="2:5" x14ac:dyDescent="0.3">
      <c r="B112" s="72">
        <v>23.192856592379101</v>
      </c>
      <c r="C112" s="71">
        <v>0.59031523434070099</v>
      </c>
      <c r="D112" s="69">
        <v>1246204.7276280585</v>
      </c>
      <c r="E112" s="72">
        <v>87276.399010646899</v>
      </c>
    </row>
    <row r="113" spans="2:5" x14ac:dyDescent="0.3">
      <c r="B113" s="72">
        <v>23.2613233094484</v>
      </c>
      <c r="C113" s="71">
        <v>0.51810827590542896</v>
      </c>
      <c r="D113" s="69">
        <v>1093385.6101888772</v>
      </c>
      <c r="E113" s="72">
        <v>81241.396381988801</v>
      </c>
    </row>
    <row r="114" spans="2:5" x14ac:dyDescent="0.3">
      <c r="B114" s="72">
        <v>23.298941867211798</v>
      </c>
      <c r="C114" s="71">
        <v>0.52272177043609802</v>
      </c>
      <c r="D114" s="69">
        <v>1102991.0689922418</v>
      </c>
      <c r="E114" s="72">
        <v>81987.578129633097</v>
      </c>
    </row>
    <row r="115" spans="2:5" x14ac:dyDescent="0.3">
      <c r="B115" s="72">
        <v>23.3661917696327</v>
      </c>
      <c r="C115" s="71">
        <v>0.557507995270486</v>
      </c>
      <c r="D115" s="69">
        <v>1176212.8566934741</v>
      </c>
      <c r="E115" s="72">
        <v>85759.203632560602</v>
      </c>
    </row>
    <row r="116" spans="2:5" x14ac:dyDescent="0.3">
      <c r="B116" s="72">
        <v>23.450367694039301</v>
      </c>
      <c r="C116" s="71">
        <v>0.232432065596752</v>
      </c>
      <c r="D116" s="69">
        <v>275038.95890260348</v>
      </c>
      <c r="E116" s="72">
        <v>42151.666568932902</v>
      </c>
    </row>
    <row r="117" spans="2:5" x14ac:dyDescent="0.3">
      <c r="B117" s="72">
        <v>23.673449507294301</v>
      </c>
      <c r="C117" s="71">
        <v>0.55621303642462705</v>
      </c>
      <c r="D117" s="69">
        <v>1172199.656056378</v>
      </c>
      <c r="E117" s="72">
        <v>88535.313100372907</v>
      </c>
    </row>
    <row r="118" spans="2:5" x14ac:dyDescent="0.3">
      <c r="B118" s="72">
        <v>23.7316007992819</v>
      </c>
      <c r="C118" s="71">
        <v>0.58164516018549794</v>
      </c>
      <c r="D118" s="69">
        <v>1225661.8157140382</v>
      </c>
      <c r="E118" s="72">
        <v>91439.040186361206</v>
      </c>
    </row>
    <row r="119" spans="2:5" x14ac:dyDescent="0.3">
      <c r="B119" s="72">
        <v>23.816050938788901</v>
      </c>
      <c r="C119" s="71">
        <v>0.61147314022460497</v>
      </c>
      <c r="D119" s="69">
        <v>1288251.7396021576</v>
      </c>
      <c r="E119" s="72">
        <v>95115.535594838293</v>
      </c>
    </row>
    <row r="120" spans="2:5" x14ac:dyDescent="0.3">
      <c r="B120" s="72">
        <v>24.103900568801102</v>
      </c>
      <c r="C120" s="71">
        <v>0.48952647345306</v>
      </c>
      <c r="D120" s="69">
        <v>1029695.1644688664</v>
      </c>
      <c r="E120" s="72">
        <v>86518.942603699907</v>
      </c>
    </row>
    <row r="121" spans="2:5" x14ac:dyDescent="0.3">
      <c r="B121" s="72">
        <v>24.2413270247303</v>
      </c>
      <c r="C121" s="71">
        <v>0.51724982384677998</v>
      </c>
      <c r="D121" s="69">
        <v>1049219.6186414212</v>
      </c>
      <c r="E121" s="72">
        <v>90344.733682541395</v>
      </c>
    </row>
    <row r="122" spans="2:5" x14ac:dyDescent="0.3">
      <c r="B122" s="72">
        <v>24.261999867753101</v>
      </c>
      <c r="C122" s="71">
        <v>0.612924981746232</v>
      </c>
      <c r="D122" s="69">
        <v>1289250.3467651918</v>
      </c>
      <c r="E122" s="72">
        <v>99793.367395435198</v>
      </c>
    </row>
    <row r="123" spans="2:5" x14ac:dyDescent="0.3">
      <c r="B123" s="72">
        <v>24.6920072713129</v>
      </c>
      <c r="C123" s="71">
        <v>0.53124479058256002</v>
      </c>
      <c r="D123" s="69">
        <v>1115538.8111482309</v>
      </c>
      <c r="E123" s="72">
        <v>95693.2847714323</v>
      </c>
    </row>
    <row r="124" spans="2:5" x14ac:dyDescent="0.3">
      <c r="B124" s="72">
        <v>24.76818537558</v>
      </c>
      <c r="C124" s="71">
        <v>0.61249306119417901</v>
      </c>
      <c r="D124" s="69">
        <v>1286034.7580322896</v>
      </c>
      <c r="E124" s="72">
        <v>104905.066894811</v>
      </c>
    </row>
    <row r="125" spans="2:5" x14ac:dyDescent="0.3">
      <c r="B125" s="72">
        <v>24.773342138083301</v>
      </c>
      <c r="C125" s="71">
        <v>0.28664169353880697</v>
      </c>
      <c r="D125" s="69">
        <v>450562.82780229027</v>
      </c>
      <c r="E125" s="72">
        <v>63786.974935945698</v>
      </c>
    </row>
    <row r="126" spans="2:5" x14ac:dyDescent="0.3">
      <c r="B126" s="72">
        <v>24.7856865401729</v>
      </c>
      <c r="C126" s="71">
        <v>0.37839085191286298</v>
      </c>
      <c r="D126" s="69">
        <v>743590.83536763582</v>
      </c>
      <c r="E126" s="72">
        <v>76618.128366838893</v>
      </c>
    </row>
    <row r="127" spans="2:5" x14ac:dyDescent="0.3">
      <c r="B127" s="72">
        <v>24.789651870689202</v>
      </c>
      <c r="C127" s="71">
        <v>0.31506269558495598</v>
      </c>
      <c r="D127" s="69">
        <v>525903.2136204124</v>
      </c>
      <c r="E127" s="72">
        <v>65181.088405889597</v>
      </c>
    </row>
    <row r="128" spans="2:5" x14ac:dyDescent="0.3">
      <c r="B128" s="72">
        <v>24.809877510296701</v>
      </c>
      <c r="C128" s="71">
        <v>0.51633490998403297</v>
      </c>
      <c r="D128" s="69">
        <v>1083816.5324711313</v>
      </c>
      <c r="E128" s="72">
        <v>95166.037926268895</v>
      </c>
    </row>
    <row r="129" spans="2:5" x14ac:dyDescent="0.3">
      <c r="B129" s="72">
        <v>24.815240460511401</v>
      </c>
      <c r="C129" s="71">
        <v>0.35476474472991099</v>
      </c>
      <c r="D129" s="69">
        <v>631516.94071303541</v>
      </c>
      <c r="E129" s="72">
        <v>70341.355600146606</v>
      </c>
    </row>
    <row r="130" spans="2:5" x14ac:dyDescent="0.3">
      <c r="B130" s="72">
        <v>24.842224164593699</v>
      </c>
      <c r="C130" s="71">
        <v>0.52772262230308897</v>
      </c>
      <c r="D130" s="69">
        <v>1107588.6713127356</v>
      </c>
      <c r="E130" s="72">
        <v>96703.965874219299</v>
      </c>
    </row>
    <row r="131" spans="2:5" x14ac:dyDescent="0.3">
      <c r="B131" s="72">
        <v>24.862726861315</v>
      </c>
      <c r="C131" s="71">
        <v>0.331717291306731</v>
      </c>
      <c r="D131" s="69">
        <v>622019.83557702252</v>
      </c>
      <c r="E131" s="72">
        <v>74816.182117268094</v>
      </c>
    </row>
    <row r="132" spans="2:5" x14ac:dyDescent="0.3">
      <c r="B132" s="72">
        <v>24.863438032671599</v>
      </c>
      <c r="C132" s="71">
        <v>0.52149261609864805</v>
      </c>
      <c r="D132" s="69">
        <v>1094434.4023447677</v>
      </c>
      <c r="E132" s="72">
        <v>96231.2891561125</v>
      </c>
    </row>
    <row r="133" spans="2:5" x14ac:dyDescent="0.3">
      <c r="B133" s="72">
        <v>24.919454038237699</v>
      </c>
      <c r="C133" s="71">
        <v>0.52043619446770395</v>
      </c>
      <c r="D133" s="69">
        <v>1091995.9349897893</v>
      </c>
      <c r="E133" s="72">
        <v>96664.421904193907</v>
      </c>
    </row>
    <row r="134" spans="2:5" x14ac:dyDescent="0.3">
      <c r="B134" s="72">
        <v>24.941851104998999</v>
      </c>
      <c r="C134" s="71">
        <v>0.62062480307324597</v>
      </c>
      <c r="D134" s="69">
        <v>1302341.2643661902</v>
      </c>
      <c r="E134" s="72">
        <v>107557.93404353</v>
      </c>
    </row>
    <row r="135" spans="2:5" x14ac:dyDescent="0.3">
      <c r="B135" s="72">
        <v>25.053068530958999</v>
      </c>
      <c r="C135" s="71">
        <v>0.66875240851541995</v>
      </c>
      <c r="D135" s="69">
        <v>1402943.5185185508</v>
      </c>
      <c r="E135" s="72">
        <v>114063.973226042</v>
      </c>
    </row>
    <row r="136" spans="2:5" x14ac:dyDescent="0.3">
      <c r="B136" s="72">
        <v>25.085250878763102</v>
      </c>
      <c r="C136" s="71">
        <v>0.306432672712248</v>
      </c>
      <c r="D136" s="69">
        <v>470219.74528132327</v>
      </c>
      <c r="E136" s="72">
        <v>61432.675050333397</v>
      </c>
    </row>
    <row r="137" spans="2:5" x14ac:dyDescent="0.3">
      <c r="B137" s="72">
        <v>25.103224081708699</v>
      </c>
      <c r="C137" s="71">
        <v>0.52200573213879198</v>
      </c>
      <c r="D137" s="69">
        <v>1024694.6607850104</v>
      </c>
      <c r="E137" s="72">
        <v>97500.483102888393</v>
      </c>
    </row>
    <row r="138" spans="2:5" x14ac:dyDescent="0.3">
      <c r="B138" s="72">
        <v>25.114736031723101</v>
      </c>
      <c r="C138" s="71">
        <v>0.36661647384116097</v>
      </c>
      <c r="D138" s="69">
        <v>659727.41053666023</v>
      </c>
      <c r="E138" s="72">
        <v>74310.196757960905</v>
      </c>
    </row>
    <row r="139" spans="2:5" x14ac:dyDescent="0.3">
      <c r="B139" s="72">
        <v>25.240946759890399</v>
      </c>
      <c r="C139" s="71">
        <v>0.66489525662848403</v>
      </c>
      <c r="D139" s="69">
        <v>1393882.0634318385</v>
      </c>
      <c r="E139" s="72">
        <v>115705.180955833</v>
      </c>
    </row>
    <row r="140" spans="2:5" x14ac:dyDescent="0.3">
      <c r="B140" s="72">
        <v>25.2563998382475</v>
      </c>
      <c r="C140" s="71">
        <v>0.28744596783268</v>
      </c>
      <c r="D140" s="69">
        <v>399187.06815646042</v>
      </c>
      <c r="E140" s="72">
        <v>56961.7113080372</v>
      </c>
    </row>
    <row r="141" spans="2:5" x14ac:dyDescent="0.3">
      <c r="B141" s="72">
        <v>25.261667639031501</v>
      </c>
      <c r="C141" s="71">
        <v>0.68567292019291004</v>
      </c>
      <c r="D141" s="69">
        <v>1437392.9336915058</v>
      </c>
      <c r="E141" s="72">
        <v>118361.568546824</v>
      </c>
    </row>
    <row r="142" spans="2:5" x14ac:dyDescent="0.3">
      <c r="B142" s="72">
        <v>25.271103626490198</v>
      </c>
      <c r="C142" s="71">
        <v>0.63516716928254702</v>
      </c>
      <c r="D142" s="69">
        <v>1331335.8447686739</v>
      </c>
      <c r="E142" s="72">
        <v>112639.868300619</v>
      </c>
    </row>
    <row r="143" spans="2:5" x14ac:dyDescent="0.3">
      <c r="B143" s="72">
        <v>25.288261842804602</v>
      </c>
      <c r="C143" s="71">
        <v>9.9999999999999895E-2</v>
      </c>
      <c r="D143" s="69">
        <v>44734.323218403151</v>
      </c>
      <c r="E143" s="72">
        <v>28846.029590838902</v>
      </c>
    </row>
    <row r="144" spans="2:5" x14ac:dyDescent="0.3">
      <c r="B144" s="72">
        <v>25.3281180158586</v>
      </c>
      <c r="C144" s="71">
        <v>0.68543475012483501</v>
      </c>
      <c r="D144" s="69">
        <v>1436542.2269336022</v>
      </c>
      <c r="E144" s="72">
        <v>119084.977895542</v>
      </c>
    </row>
    <row r="145" spans="2:5" x14ac:dyDescent="0.3">
      <c r="B145" s="72">
        <v>25.348716894748399</v>
      </c>
      <c r="C145" s="71">
        <v>0.34133804332671802</v>
      </c>
      <c r="D145" s="69">
        <v>579865.59889092448</v>
      </c>
      <c r="E145" s="72">
        <v>74606.750673916904</v>
      </c>
    </row>
    <row r="146" spans="2:5" x14ac:dyDescent="0.3">
      <c r="B146" s="72">
        <v>25.3644164041234</v>
      </c>
      <c r="C146" s="71">
        <v>0.55208216179528402</v>
      </c>
      <c r="D146" s="69">
        <v>1156463.3064307973</v>
      </c>
      <c r="E146" s="72">
        <v>104709.365463728</v>
      </c>
    </row>
    <row r="147" spans="2:5" x14ac:dyDescent="0.3">
      <c r="B147" s="72">
        <v>25.3752839702573</v>
      </c>
      <c r="C147" s="71">
        <v>0.64756998472183802</v>
      </c>
      <c r="D147" s="69">
        <v>1356292.8852416486</v>
      </c>
      <c r="E147" s="72">
        <v>116233.35216951701</v>
      </c>
    </row>
    <row r="148" spans="2:5" x14ac:dyDescent="0.3">
      <c r="B148" s="72">
        <v>25.424521152348099</v>
      </c>
      <c r="C148" s="71">
        <v>0.64542214915146301</v>
      </c>
      <c r="D148" s="69">
        <v>1352089.7986959966</v>
      </c>
      <c r="E148" s="72">
        <v>115506.155074369</v>
      </c>
    </row>
    <row r="149" spans="2:5" x14ac:dyDescent="0.3">
      <c r="B149" s="72">
        <v>25.430857198003402</v>
      </c>
      <c r="C149" s="71">
        <v>0.55110125697894496</v>
      </c>
      <c r="D149" s="69">
        <v>1154167.9520460514</v>
      </c>
      <c r="E149" s="72">
        <v>105211.085205454</v>
      </c>
    </row>
    <row r="150" spans="2:5" x14ac:dyDescent="0.3">
      <c r="B150" s="72">
        <v>25.562711417944801</v>
      </c>
      <c r="C150" s="71">
        <v>0.56098648230778903</v>
      </c>
      <c r="D150" s="69">
        <v>1174294.7257490971</v>
      </c>
      <c r="E150" s="72">
        <v>107714.928002343</v>
      </c>
    </row>
    <row r="151" spans="2:5" x14ac:dyDescent="0.3">
      <c r="B151" s="72">
        <v>25.5652127209393</v>
      </c>
      <c r="C151" s="71">
        <v>0.34890712993647999</v>
      </c>
      <c r="D151" s="69">
        <v>644165.09829913557</v>
      </c>
      <c r="E151" s="72">
        <v>80509.935832119198</v>
      </c>
    </row>
    <row r="152" spans="2:5" x14ac:dyDescent="0.3">
      <c r="B152" s="72">
        <v>25.570138289739202</v>
      </c>
      <c r="C152" s="71">
        <v>0.55579007995267804</v>
      </c>
      <c r="D152" s="69">
        <v>1163480.7435659561</v>
      </c>
      <c r="E152" s="72">
        <v>107035.239032185</v>
      </c>
    </row>
    <row r="153" spans="2:5" x14ac:dyDescent="0.3">
      <c r="B153" s="72">
        <v>25.5870571670409</v>
      </c>
      <c r="C153" s="71">
        <v>0.45018899897923398</v>
      </c>
      <c r="D153" s="69">
        <v>625269.05897735106</v>
      </c>
      <c r="E153" s="72">
        <v>90742.182728100801</v>
      </c>
    </row>
    <row r="154" spans="2:5" x14ac:dyDescent="0.3">
      <c r="B154" s="72">
        <v>25.642407817710001</v>
      </c>
      <c r="C154" s="71">
        <v>0.59655198342604099</v>
      </c>
      <c r="D154" s="69">
        <v>1248374.5271383978</v>
      </c>
      <c r="E154" s="72">
        <v>112737.252192714</v>
      </c>
    </row>
    <row r="155" spans="2:5" x14ac:dyDescent="0.3">
      <c r="B155" s="72">
        <v>25.645196383266899</v>
      </c>
      <c r="C155" s="71">
        <v>0.58056640410215699</v>
      </c>
      <c r="D155" s="69">
        <v>1215064.6269589018</v>
      </c>
      <c r="E155" s="72">
        <v>110587.958064035</v>
      </c>
    </row>
    <row r="156" spans="2:5" x14ac:dyDescent="0.3">
      <c r="B156" s="72">
        <v>25.657115451935098</v>
      </c>
      <c r="C156" s="71">
        <v>0.56609026318246203</v>
      </c>
      <c r="D156" s="69">
        <v>1184649.6019123825</v>
      </c>
      <c r="E156" s="72">
        <v>109151.97421511399</v>
      </c>
    </row>
    <row r="157" spans="2:5" x14ac:dyDescent="0.3">
      <c r="B157" s="72">
        <v>25.766477643658899</v>
      </c>
      <c r="C157" s="71">
        <v>0.59314854629404601</v>
      </c>
      <c r="D157" s="69">
        <v>1240850.2769007201</v>
      </c>
      <c r="E157" s="72">
        <v>113348.27293771799</v>
      </c>
    </row>
    <row r="158" spans="2:5" x14ac:dyDescent="0.3">
      <c r="B158" s="72">
        <v>25.802499465496499</v>
      </c>
      <c r="C158" s="71">
        <v>0.53291462334781503</v>
      </c>
      <c r="D158" s="69">
        <v>1036229.2587296086</v>
      </c>
      <c r="E158" s="72">
        <v>108669.18017060299</v>
      </c>
    </row>
    <row r="159" spans="2:5" x14ac:dyDescent="0.3">
      <c r="B159" s="72">
        <v>25.8253893068017</v>
      </c>
      <c r="C159" s="71">
        <v>0.60725964216150796</v>
      </c>
      <c r="D159" s="69">
        <v>1270071.994098234</v>
      </c>
      <c r="E159" s="72">
        <v>115702.88636578299</v>
      </c>
    </row>
    <row r="160" spans="2:5" x14ac:dyDescent="0.3">
      <c r="B160" s="72">
        <v>25.837662145443499</v>
      </c>
      <c r="C160" s="71">
        <v>0.61638429595278599</v>
      </c>
      <c r="D160" s="69">
        <v>1289096.5077110725</v>
      </c>
      <c r="E160" s="72">
        <v>116938.801652396</v>
      </c>
    </row>
    <row r="161" spans="2:5" x14ac:dyDescent="0.3">
      <c r="B161" s="72">
        <v>25.943840244015501</v>
      </c>
      <c r="C161" s="71">
        <v>0.29499242113301399</v>
      </c>
      <c r="D161" s="69">
        <v>409685.0979753529</v>
      </c>
      <c r="E161" s="72">
        <v>71082.140167280697</v>
      </c>
    </row>
    <row r="162" spans="2:5" x14ac:dyDescent="0.3">
      <c r="B162" s="72">
        <v>25.963764358193099</v>
      </c>
      <c r="C162" s="71">
        <v>0.68907152381634795</v>
      </c>
      <c r="D162" s="69">
        <v>1440658.8607102016</v>
      </c>
      <c r="E162" s="72">
        <v>127113.352135806</v>
      </c>
    </row>
    <row r="163" spans="2:5" x14ac:dyDescent="0.3">
      <c r="B163" s="72">
        <v>26.023195409291901</v>
      </c>
      <c r="C163" s="71">
        <v>0.64493799007526198</v>
      </c>
      <c r="D163" s="69">
        <v>1347948.2338290918</v>
      </c>
      <c r="E163" s="72">
        <v>122480.307465787</v>
      </c>
    </row>
    <row r="164" spans="2:5" x14ac:dyDescent="0.3">
      <c r="B164" s="72">
        <v>26.064181963416399</v>
      </c>
      <c r="C164" s="71">
        <v>0.69802267737261503</v>
      </c>
      <c r="D164" s="69">
        <v>1458244.7579045773</v>
      </c>
      <c r="E164" s="72">
        <v>130973.616279482</v>
      </c>
    </row>
    <row r="165" spans="2:5" x14ac:dyDescent="0.3">
      <c r="B165" s="72">
        <v>26.0763885757707</v>
      </c>
      <c r="C165" s="71">
        <v>0.61088182050022699</v>
      </c>
      <c r="D165" s="69">
        <v>1276457.509450136</v>
      </c>
      <c r="E165" s="72">
        <v>118924.295613751</v>
      </c>
    </row>
    <row r="166" spans="2:5" x14ac:dyDescent="0.3">
      <c r="B166" s="72">
        <v>26.121794341719799</v>
      </c>
      <c r="C166" s="71">
        <v>0.65656987040927195</v>
      </c>
      <c r="D166" s="69">
        <v>1371780.6546789471</v>
      </c>
      <c r="E166" s="72">
        <v>124972.737439958</v>
      </c>
    </row>
    <row r="167" spans="2:5" x14ac:dyDescent="0.3">
      <c r="B167" s="72">
        <v>26.164183650422299</v>
      </c>
      <c r="C167" s="71">
        <v>0.235060236913961</v>
      </c>
      <c r="D167" s="69">
        <v>244004.18123351911</v>
      </c>
      <c r="E167" s="72">
        <v>59741.9053947348</v>
      </c>
    </row>
    <row r="168" spans="2:5" x14ac:dyDescent="0.3">
      <c r="B168" s="72">
        <v>26.165884411177</v>
      </c>
      <c r="C168" s="71">
        <v>0.218754830343389</v>
      </c>
      <c r="D168" s="69">
        <v>276695.64229522698</v>
      </c>
      <c r="E168" s="72">
        <v>62630.9153424623</v>
      </c>
    </row>
    <row r="169" spans="2:5" x14ac:dyDescent="0.3">
      <c r="B169" s="72">
        <v>26.211329918996999</v>
      </c>
      <c r="C169" s="71">
        <v>0.59083659753517903</v>
      </c>
      <c r="D169" s="69">
        <v>1233809.4472130798</v>
      </c>
      <c r="E169" s="72">
        <v>118219.55021136699</v>
      </c>
    </row>
    <row r="170" spans="2:5" x14ac:dyDescent="0.3">
      <c r="B170" s="72">
        <v>26.233926205499301</v>
      </c>
      <c r="C170" s="71">
        <v>0.63674961395502405</v>
      </c>
      <c r="D170" s="69">
        <v>1329813.4213583551</v>
      </c>
      <c r="E170" s="72">
        <v>123734.72189726699</v>
      </c>
    </row>
    <row r="171" spans="2:5" x14ac:dyDescent="0.3">
      <c r="B171" s="72">
        <v>26.401576078281</v>
      </c>
      <c r="C171" s="71">
        <v>0.74152639274187504</v>
      </c>
      <c r="D171" s="69">
        <v>1547824.3705479801</v>
      </c>
      <c r="E171" s="72">
        <v>139334.24873900201</v>
      </c>
    </row>
    <row r="172" spans="2:5" x14ac:dyDescent="0.3">
      <c r="B172" s="72">
        <v>26.4378282318708</v>
      </c>
      <c r="C172" s="71">
        <v>0.60941785827770101</v>
      </c>
      <c r="D172" s="69">
        <v>1271652.0156296452</v>
      </c>
      <c r="E172" s="72">
        <v>122872.012357871</v>
      </c>
    </row>
    <row r="173" spans="2:5" x14ac:dyDescent="0.3">
      <c r="B173" s="72">
        <v>26.4403072557507</v>
      </c>
      <c r="C173" s="71">
        <v>0.29019032283629098</v>
      </c>
      <c r="D173" s="69">
        <v>464721.10052542901</v>
      </c>
      <c r="E173" s="72">
        <v>79199.999706555507</v>
      </c>
    </row>
    <row r="174" spans="2:5" x14ac:dyDescent="0.3">
      <c r="B174" s="72">
        <v>26.4642821558976</v>
      </c>
      <c r="C174" s="71">
        <v>0.25072619203635799</v>
      </c>
      <c r="D174" s="69">
        <v>342849.65839143115</v>
      </c>
      <c r="E174" s="72">
        <v>66239.254143271202</v>
      </c>
    </row>
    <row r="175" spans="2:5" x14ac:dyDescent="0.3">
      <c r="B175" s="72">
        <v>26.566442708844701</v>
      </c>
      <c r="C175" s="71">
        <v>0.23887524226399601</v>
      </c>
      <c r="D175" s="69">
        <v>253135.28295248613</v>
      </c>
      <c r="E175" s="72">
        <v>62650.761945775397</v>
      </c>
    </row>
    <row r="176" spans="2:5" x14ac:dyDescent="0.3">
      <c r="B176" s="72">
        <v>26.698993290311101</v>
      </c>
      <c r="C176" s="71">
        <v>0.62098325244493702</v>
      </c>
      <c r="D176" s="69">
        <v>1294383.5865375772</v>
      </c>
      <c r="E176" s="72">
        <v>127502.991760187</v>
      </c>
    </row>
    <row r="177" spans="2:5" x14ac:dyDescent="0.3">
      <c r="B177" s="72">
        <v>26.726945933245499</v>
      </c>
      <c r="C177" s="71">
        <v>0.36524590376476002</v>
      </c>
      <c r="D177" s="69">
        <v>636043.86623337073</v>
      </c>
      <c r="E177" s="72">
        <v>87175.722653154298</v>
      </c>
    </row>
    <row r="178" spans="2:5" x14ac:dyDescent="0.3">
      <c r="B178" s="72">
        <v>26.735999606963102</v>
      </c>
      <c r="C178" s="71">
        <v>0.5965952852727</v>
      </c>
      <c r="D178" s="69">
        <v>1243401.1127054673</v>
      </c>
      <c r="E178" s="72">
        <v>124791.58504871999</v>
      </c>
    </row>
    <row r="179" spans="2:5" x14ac:dyDescent="0.3">
      <c r="B179" s="72">
        <v>26.7419174251533</v>
      </c>
      <c r="C179" s="71">
        <v>0.199121720733866</v>
      </c>
      <c r="D179" s="69">
        <v>154307.09607056709</v>
      </c>
      <c r="E179" s="72">
        <v>52814.651420932802</v>
      </c>
    </row>
    <row r="180" spans="2:5" x14ac:dyDescent="0.3">
      <c r="B180" s="72">
        <v>26.755149390027398</v>
      </c>
      <c r="C180" s="71">
        <v>0.35186674081819302</v>
      </c>
      <c r="D180" s="69">
        <v>535990.12299204106</v>
      </c>
      <c r="E180" s="72">
        <v>87225.318402223595</v>
      </c>
    </row>
    <row r="181" spans="2:5" x14ac:dyDescent="0.3">
      <c r="B181" s="72">
        <v>26.7684109988103</v>
      </c>
      <c r="C181" s="71">
        <v>0.66119051440159204</v>
      </c>
      <c r="D181" s="69">
        <v>1378008.0548826708</v>
      </c>
      <c r="E181" s="72">
        <v>133234.03365074401</v>
      </c>
    </row>
    <row r="182" spans="2:5" x14ac:dyDescent="0.3">
      <c r="B182" s="72">
        <v>26.770510793918199</v>
      </c>
      <c r="C182" s="71">
        <v>0.35883529249704699</v>
      </c>
      <c r="D182" s="69">
        <v>676190.39412766939</v>
      </c>
      <c r="E182" s="72">
        <v>96033.567440416606</v>
      </c>
    </row>
    <row r="183" spans="2:5" x14ac:dyDescent="0.3">
      <c r="B183" s="72">
        <v>26.770523676303199</v>
      </c>
      <c r="C183" s="71">
        <v>0.39821848090491702</v>
      </c>
      <c r="D183" s="69">
        <v>791683.83874486759</v>
      </c>
      <c r="E183" s="72">
        <v>101129.17640313601</v>
      </c>
    </row>
    <row r="184" spans="2:5" x14ac:dyDescent="0.3">
      <c r="B184" s="72">
        <v>26.915149535943002</v>
      </c>
      <c r="C184" s="71">
        <v>0.735637484624587</v>
      </c>
      <c r="D184" s="69">
        <v>1532505.1992619864</v>
      </c>
      <c r="E184" s="72">
        <v>144929.14563553999</v>
      </c>
    </row>
    <row r="185" spans="2:5" x14ac:dyDescent="0.3">
      <c r="B185" s="72">
        <v>26.967112871855502</v>
      </c>
      <c r="C185" s="71">
        <v>0.684294708051287</v>
      </c>
      <c r="D185" s="69">
        <v>1425072.6164413076</v>
      </c>
      <c r="E185" s="72">
        <v>138744.11353684199</v>
      </c>
    </row>
    <row r="186" spans="2:5" x14ac:dyDescent="0.3">
      <c r="B186" s="72">
        <v>27.070046671727599</v>
      </c>
      <c r="C186" s="71">
        <v>0.71700744547650497</v>
      </c>
      <c r="D186" s="69">
        <v>1492664.4739375757</v>
      </c>
      <c r="E186" s="72">
        <v>144473.21167443099</v>
      </c>
    </row>
    <row r="187" spans="2:5" x14ac:dyDescent="0.3">
      <c r="B187" s="72">
        <v>27.093011904967099</v>
      </c>
      <c r="C187" s="71">
        <v>0.63716914080107701</v>
      </c>
      <c r="D187" s="69">
        <v>1287601.0266583606</v>
      </c>
      <c r="E187" s="72">
        <v>135383.177401853</v>
      </c>
    </row>
    <row r="188" spans="2:5" x14ac:dyDescent="0.3">
      <c r="B188" s="72">
        <v>27.1259961330456</v>
      </c>
      <c r="C188" s="71">
        <v>0.69691234702282101</v>
      </c>
      <c r="D188" s="69">
        <v>1450491.8203709279</v>
      </c>
      <c r="E188" s="72">
        <v>142393.16677103299</v>
      </c>
    </row>
    <row r="189" spans="2:5" x14ac:dyDescent="0.3">
      <c r="B189" s="72">
        <v>27.153102844365002</v>
      </c>
      <c r="C189" s="71">
        <v>9.5629557929922296E-2</v>
      </c>
      <c r="D189" s="69">
        <v>32766.843559446486</v>
      </c>
      <c r="E189" s="72">
        <v>27222.826074880999</v>
      </c>
    </row>
    <row r="190" spans="2:5" x14ac:dyDescent="0.3">
      <c r="B190" s="72">
        <v>27.162853692980999</v>
      </c>
      <c r="C190" s="71">
        <v>0.68415074206547999</v>
      </c>
      <c r="D190" s="69">
        <v>1423699.9168441745</v>
      </c>
      <c r="E190" s="72">
        <v>141134.58949876399</v>
      </c>
    </row>
    <row r="191" spans="2:5" x14ac:dyDescent="0.3">
      <c r="B191" s="72">
        <v>27.165783703265198</v>
      </c>
      <c r="C191" s="71">
        <v>0.35678809915172399</v>
      </c>
      <c r="D191" s="69">
        <v>653148.34341067087</v>
      </c>
      <c r="E191" s="72">
        <v>95436.045204061302</v>
      </c>
    </row>
    <row r="192" spans="2:5" x14ac:dyDescent="0.3">
      <c r="B192" s="72">
        <v>27.196257463146502</v>
      </c>
      <c r="C192" s="71">
        <v>0.66666688342051195</v>
      </c>
      <c r="D192" s="69">
        <v>1387081.4383404551</v>
      </c>
      <c r="E192" s="72">
        <v>139285.99757449501</v>
      </c>
    </row>
    <row r="193" spans="2:5" x14ac:dyDescent="0.3">
      <c r="B193" s="72">
        <v>27.2488751292736</v>
      </c>
      <c r="C193" s="71">
        <v>0.69071530483614496</v>
      </c>
      <c r="D193" s="69">
        <v>1438148.4302169897</v>
      </c>
      <c r="E193" s="72">
        <v>144868.67871596999</v>
      </c>
    </row>
    <row r="194" spans="2:5" x14ac:dyDescent="0.3">
      <c r="B194" s="72">
        <v>27.270523302290499</v>
      </c>
      <c r="C194" s="71">
        <v>0.36217657789021801</v>
      </c>
      <c r="D194" s="69">
        <v>667029.77071365213</v>
      </c>
      <c r="E194" s="72">
        <v>99551.154448943606</v>
      </c>
    </row>
    <row r="195" spans="2:5" x14ac:dyDescent="0.3">
      <c r="B195" s="72">
        <v>27.357915208994999</v>
      </c>
      <c r="C195" s="71">
        <v>0.31654498549295002</v>
      </c>
      <c r="D195" s="69">
        <v>525428.71493242646</v>
      </c>
      <c r="E195" s="72">
        <v>91407.829459321802</v>
      </c>
    </row>
    <row r="196" spans="2:5" x14ac:dyDescent="0.3">
      <c r="B196" s="72">
        <v>27.379749754571499</v>
      </c>
      <c r="C196" s="71">
        <v>0.40353817753781501</v>
      </c>
      <c r="D196" s="69">
        <v>801792.62998326914</v>
      </c>
      <c r="E196" s="72">
        <v>108081.682280963</v>
      </c>
    </row>
    <row r="197" spans="2:5" x14ac:dyDescent="0.3">
      <c r="B197" s="72">
        <v>27.3831857564068</v>
      </c>
      <c r="C197" s="71">
        <v>0.36215455073957598</v>
      </c>
      <c r="D197" s="69">
        <v>679003.60661901045</v>
      </c>
      <c r="E197" s="72">
        <v>102517.309952283</v>
      </c>
    </row>
    <row r="198" spans="2:5" x14ac:dyDescent="0.3">
      <c r="B198" s="72">
        <v>27.4246543408325</v>
      </c>
      <c r="C198" s="71">
        <v>0.63010752788015301</v>
      </c>
      <c r="D198" s="69">
        <v>1309610.1201557962</v>
      </c>
      <c r="E198" s="72">
        <v>137550.917611638</v>
      </c>
    </row>
    <row r="199" spans="2:5" x14ac:dyDescent="0.3">
      <c r="B199" s="72">
        <v>27.442233653477398</v>
      </c>
      <c r="C199" s="71">
        <v>0.79330068251865704</v>
      </c>
      <c r="D199" s="69">
        <v>1649321.4623729824</v>
      </c>
      <c r="E199" s="72">
        <v>160332.562341235</v>
      </c>
    </row>
    <row r="200" spans="2:5" x14ac:dyDescent="0.3">
      <c r="B200" s="72">
        <v>27.464621850844701</v>
      </c>
      <c r="C200" s="71">
        <v>0.39687176835993299</v>
      </c>
      <c r="D200" s="69">
        <v>787205.62967680383</v>
      </c>
      <c r="E200" s="72">
        <v>108049.94717906301</v>
      </c>
    </row>
    <row r="201" spans="2:5" x14ac:dyDescent="0.3">
      <c r="B201" s="72">
        <v>27.465849334400399</v>
      </c>
      <c r="C201" s="71">
        <v>0.35434771114778302</v>
      </c>
      <c r="D201" s="69">
        <v>651046.65125426953</v>
      </c>
      <c r="E201" s="72">
        <v>100054.56333946</v>
      </c>
    </row>
    <row r="202" spans="2:5" x14ac:dyDescent="0.3">
      <c r="B202" s="72">
        <v>27.485633084110201</v>
      </c>
      <c r="C202" s="71">
        <v>0.80598844668051295</v>
      </c>
      <c r="D202" s="69">
        <v>1675409.8988169245</v>
      </c>
      <c r="E202" s="72">
        <v>162953.682505531</v>
      </c>
    </row>
    <row r="203" spans="2:5" x14ac:dyDescent="0.3">
      <c r="B203" s="72">
        <v>27.5102193752574</v>
      </c>
      <c r="C203" s="71">
        <v>0.63429499989063198</v>
      </c>
      <c r="D203" s="69">
        <v>1317907.7759875297</v>
      </c>
      <c r="E203" s="72">
        <v>139102.10384968499</v>
      </c>
    </row>
    <row r="204" spans="2:5" x14ac:dyDescent="0.3">
      <c r="B204" s="72">
        <v>27.593904982727899</v>
      </c>
      <c r="C204" s="71">
        <v>0.40164847682203197</v>
      </c>
      <c r="D204" s="69">
        <v>797022.32735952875</v>
      </c>
      <c r="E204" s="72">
        <v>110066.231909575</v>
      </c>
    </row>
    <row r="205" spans="2:5" x14ac:dyDescent="0.3">
      <c r="B205" s="72">
        <v>27.617391985018799</v>
      </c>
      <c r="C205" s="71">
        <v>0.69570505408057504</v>
      </c>
      <c r="D205" s="69">
        <v>1445087.1019987005</v>
      </c>
      <c r="E205" s="72">
        <v>148640.05447887399</v>
      </c>
    </row>
    <row r="206" spans="2:5" x14ac:dyDescent="0.3">
      <c r="B206" s="72">
        <v>27.638436791119101</v>
      </c>
      <c r="C206" s="71">
        <v>0.70257559782251799</v>
      </c>
      <c r="D206" s="69">
        <v>1459232.2570160625</v>
      </c>
      <c r="E206" s="72">
        <v>149901.506821863</v>
      </c>
    </row>
    <row r="207" spans="2:5" x14ac:dyDescent="0.3">
      <c r="B207" s="72">
        <v>27.657040793036</v>
      </c>
      <c r="C207" s="71">
        <v>0.73411965707738802</v>
      </c>
      <c r="D207" s="69">
        <v>1526090.2574659036</v>
      </c>
      <c r="E207" s="72">
        <v>154953.95060341101</v>
      </c>
    </row>
    <row r="208" spans="2:5" x14ac:dyDescent="0.3">
      <c r="B208" s="72">
        <v>27.663513484718599</v>
      </c>
      <c r="C208" s="71">
        <v>0.74296094356110298</v>
      </c>
      <c r="D208" s="69">
        <v>1543936.1905023893</v>
      </c>
      <c r="E208" s="72">
        <v>156288.55303496899</v>
      </c>
    </row>
    <row r="209" spans="2:5" x14ac:dyDescent="0.3">
      <c r="B209" s="72">
        <v>27.719399073916399</v>
      </c>
      <c r="C209" s="71">
        <v>0.75060335475224904</v>
      </c>
      <c r="D209" s="69">
        <v>1558493.9882857429</v>
      </c>
      <c r="E209" s="72">
        <v>159171.15731719299</v>
      </c>
    </row>
    <row r="210" spans="2:5" x14ac:dyDescent="0.3">
      <c r="B210" s="72">
        <v>27.7410093060356</v>
      </c>
      <c r="C210" s="71">
        <v>0.77162710235739995</v>
      </c>
      <c r="D210" s="69">
        <v>1602201.00229336</v>
      </c>
      <c r="E210" s="72">
        <v>161238.706502594</v>
      </c>
    </row>
    <row r="211" spans="2:5" x14ac:dyDescent="0.3">
      <c r="B211" s="72">
        <v>27.7685222241074</v>
      </c>
      <c r="C211" s="71">
        <v>0.81401314729354901</v>
      </c>
      <c r="D211" s="69">
        <v>1690217.6109612829</v>
      </c>
      <c r="E211" s="72">
        <v>168176.97550261801</v>
      </c>
    </row>
    <row r="212" spans="2:5" x14ac:dyDescent="0.3">
      <c r="B212" s="72">
        <v>27.895028807192599</v>
      </c>
      <c r="C212" s="71">
        <v>0.71938273698361599</v>
      </c>
      <c r="D212" s="69">
        <v>1492676.3278307426</v>
      </c>
      <c r="E212" s="72">
        <v>155816.783020345</v>
      </c>
    </row>
    <row r="213" spans="2:5" x14ac:dyDescent="0.3">
      <c r="B213" s="72">
        <v>27.912532003102001</v>
      </c>
      <c r="C213" s="71">
        <v>0.73549638755395896</v>
      </c>
      <c r="D213" s="69">
        <v>1527851.6886296188</v>
      </c>
      <c r="E213" s="72">
        <v>159685.78761777299</v>
      </c>
    </row>
    <row r="214" spans="2:5" x14ac:dyDescent="0.3">
      <c r="B214" s="72">
        <v>27.921604245416301</v>
      </c>
      <c r="C214" s="71">
        <v>0.60627878051394601</v>
      </c>
      <c r="D214" s="69">
        <v>904930.48082301219</v>
      </c>
      <c r="E214" s="72">
        <v>140903.32601878399</v>
      </c>
    </row>
    <row r="215" spans="2:5" x14ac:dyDescent="0.3">
      <c r="B215" s="72">
        <v>27.961264496408798</v>
      </c>
      <c r="C215" s="71">
        <v>0.796890956084645</v>
      </c>
      <c r="D215" s="69">
        <v>1653254.0268724693</v>
      </c>
      <c r="E215" s="72">
        <v>168369.24390703801</v>
      </c>
    </row>
    <row r="216" spans="2:5" x14ac:dyDescent="0.3">
      <c r="B216" s="72">
        <v>27.981788202373799</v>
      </c>
      <c r="C216" s="71">
        <v>0.79060850715847297</v>
      </c>
      <c r="D216" s="69">
        <v>1640034.432857885</v>
      </c>
      <c r="E216" s="72">
        <v>167527.179185038</v>
      </c>
    </row>
    <row r="217" spans="2:5" x14ac:dyDescent="0.3">
      <c r="B217" s="72">
        <v>28.040299076668401</v>
      </c>
      <c r="C217" s="71">
        <v>0.39109470025611698</v>
      </c>
      <c r="D217" s="69">
        <v>745914.94755713432</v>
      </c>
      <c r="E217" s="72">
        <v>111497.12261075</v>
      </c>
    </row>
    <row r="218" spans="2:5" x14ac:dyDescent="0.3">
      <c r="B218" s="72">
        <v>28.173785415148</v>
      </c>
      <c r="C218" s="71">
        <v>0.71250411347449605</v>
      </c>
      <c r="D218" s="69">
        <v>1476520.1516259469</v>
      </c>
      <c r="E218" s="72">
        <v>158688.11989015201</v>
      </c>
    </row>
    <row r="219" spans="2:5" x14ac:dyDescent="0.3">
      <c r="B219" s="72">
        <v>28.175053756518299</v>
      </c>
      <c r="C219" s="71">
        <v>0.75532437831301003</v>
      </c>
      <c r="D219" s="69">
        <v>1565738.0107724715</v>
      </c>
      <c r="E219" s="72">
        <v>165055.20136486899</v>
      </c>
    </row>
    <row r="220" spans="2:5" x14ac:dyDescent="0.3">
      <c r="B220" s="72">
        <v>28.1902683445024</v>
      </c>
      <c r="C220" s="71">
        <v>0.37274153923925502</v>
      </c>
      <c r="D220" s="69">
        <v>696447.28940584045</v>
      </c>
      <c r="E220" s="72">
        <v>110357.83630478699</v>
      </c>
    </row>
    <row r="221" spans="2:5" x14ac:dyDescent="0.3">
      <c r="B221" s="72">
        <v>28.194953751304201</v>
      </c>
      <c r="C221" s="71">
        <v>0.41155340950170799</v>
      </c>
      <c r="D221" s="69">
        <v>807138.72183019307</v>
      </c>
      <c r="E221" s="72">
        <v>115893.268545742</v>
      </c>
    </row>
    <row r="222" spans="2:5" x14ac:dyDescent="0.3">
      <c r="B222" s="72">
        <v>28.216716116091899</v>
      </c>
      <c r="C222" s="71">
        <v>0.76527743912346802</v>
      </c>
      <c r="D222" s="69">
        <v>1588137.1355854557</v>
      </c>
      <c r="E222" s="72">
        <v>167202.656407387</v>
      </c>
    </row>
    <row r="223" spans="2:5" x14ac:dyDescent="0.3">
      <c r="B223" s="72">
        <v>28.230898320956399</v>
      </c>
      <c r="C223" s="71">
        <v>0.78531463536243995</v>
      </c>
      <c r="D223" s="69">
        <v>1627327.4765134142</v>
      </c>
      <c r="E223" s="72">
        <v>170278.95893125699</v>
      </c>
    </row>
    <row r="224" spans="2:5" x14ac:dyDescent="0.3">
      <c r="B224" s="72">
        <v>28.2665207833371</v>
      </c>
      <c r="C224" s="71">
        <v>0.67829181391331494</v>
      </c>
      <c r="D224" s="69">
        <v>1405029.8849646703</v>
      </c>
      <c r="E224" s="72">
        <v>154999.11757447699</v>
      </c>
    </row>
    <row r="225" spans="2:5" x14ac:dyDescent="0.3">
      <c r="B225" s="72">
        <v>28.295761930004499</v>
      </c>
      <c r="C225" s="71">
        <v>0.70810437458134601</v>
      </c>
      <c r="D225" s="69">
        <v>1467904.9547148319</v>
      </c>
      <c r="E225" s="72">
        <v>160393.021938855</v>
      </c>
    </row>
    <row r="226" spans="2:5" x14ac:dyDescent="0.3">
      <c r="B226" s="72">
        <v>28.302922721094301</v>
      </c>
      <c r="C226" s="71">
        <v>0.68642531408954899</v>
      </c>
      <c r="D226" s="69">
        <v>1421692.2107739151</v>
      </c>
      <c r="E226" s="72">
        <v>156627.899445638</v>
      </c>
    </row>
    <row r="227" spans="2:5" x14ac:dyDescent="0.3">
      <c r="B227" s="72">
        <v>28.329571860810699</v>
      </c>
      <c r="C227" s="71">
        <v>0.83540685988672003</v>
      </c>
      <c r="D227" s="69">
        <v>1740680.4571977751</v>
      </c>
      <c r="E227" s="72">
        <v>181029.35977887001</v>
      </c>
    </row>
    <row r="228" spans="2:5" x14ac:dyDescent="0.3">
      <c r="B228" s="72">
        <v>28.361609489350801</v>
      </c>
      <c r="C228" s="71">
        <v>0.68954499083737797</v>
      </c>
      <c r="D228" s="69">
        <v>1427790.0604578778</v>
      </c>
      <c r="E228" s="72">
        <v>157906.930176194</v>
      </c>
    </row>
    <row r="229" spans="2:5" x14ac:dyDescent="0.3">
      <c r="B229" s="72">
        <v>28.384407662150899</v>
      </c>
      <c r="C229" s="71">
        <v>0.16953194987481701</v>
      </c>
      <c r="D229" s="69">
        <v>110123.25715888177</v>
      </c>
      <c r="E229" s="72">
        <v>50418.355757261503</v>
      </c>
    </row>
    <row r="230" spans="2:5" x14ac:dyDescent="0.3">
      <c r="B230" s="72">
        <v>28.392209349683501</v>
      </c>
      <c r="C230" s="71">
        <v>0.70042898278100996</v>
      </c>
      <c r="D230" s="69">
        <v>1450147.6796378938</v>
      </c>
      <c r="E230" s="72">
        <v>159927.60558929</v>
      </c>
    </row>
    <row r="231" spans="2:5" x14ac:dyDescent="0.3">
      <c r="B231" s="72">
        <v>28.433129999705301</v>
      </c>
      <c r="C231" s="71">
        <v>0.81186142692885599</v>
      </c>
      <c r="D231" s="69">
        <v>1681771.7364671398</v>
      </c>
      <c r="E231" s="72">
        <v>177743.00878336199</v>
      </c>
    </row>
    <row r="232" spans="2:5" x14ac:dyDescent="0.3">
      <c r="B232" s="72">
        <v>28.475405190892801</v>
      </c>
      <c r="C232" s="71">
        <v>0.79978549409219102</v>
      </c>
      <c r="D232" s="69">
        <v>1657847.3893613867</v>
      </c>
      <c r="E232" s="72">
        <v>176374.96974394601</v>
      </c>
    </row>
    <row r="233" spans="2:5" x14ac:dyDescent="0.3">
      <c r="B233" s="72">
        <v>28.4955620643956</v>
      </c>
      <c r="C233" s="71">
        <v>0.73855364286002501</v>
      </c>
      <c r="D233" s="69">
        <v>1528530.980086298</v>
      </c>
      <c r="E233" s="72">
        <v>166975.11890716801</v>
      </c>
    </row>
    <row r="234" spans="2:5" x14ac:dyDescent="0.3">
      <c r="B234" s="72">
        <v>28.504336945717899</v>
      </c>
      <c r="C234" s="71">
        <v>0.83942252979011001</v>
      </c>
      <c r="D234" s="69">
        <v>1737883.0200554323</v>
      </c>
      <c r="E234" s="72">
        <v>183168.860856263</v>
      </c>
    </row>
    <row r="235" spans="2:5" x14ac:dyDescent="0.3">
      <c r="B235" s="72">
        <v>28.508345681343499</v>
      </c>
      <c r="C235" s="71">
        <v>0.78175329992586695</v>
      </c>
      <c r="D235" s="69">
        <v>1618007.0914716253</v>
      </c>
      <c r="E235" s="72">
        <v>173771.68456388</v>
      </c>
    </row>
    <row r="236" spans="2:5" x14ac:dyDescent="0.3">
      <c r="B236" s="72">
        <v>28.509382997803002</v>
      </c>
      <c r="C236" s="71">
        <v>0.69245991646875305</v>
      </c>
      <c r="D236" s="69">
        <v>1432926.420314268</v>
      </c>
      <c r="E236" s="72">
        <v>160384.402575227</v>
      </c>
    </row>
    <row r="237" spans="2:5" x14ac:dyDescent="0.3">
      <c r="B237" s="72">
        <v>28.5185732485835</v>
      </c>
      <c r="C237" s="71">
        <v>0.78163548677402905</v>
      </c>
      <c r="D237" s="69">
        <v>1617678.3260288923</v>
      </c>
      <c r="E237" s="72">
        <v>173928.953775456</v>
      </c>
    </row>
    <row r="238" spans="2:5" x14ac:dyDescent="0.3">
      <c r="B238" s="72">
        <v>28.540801228056502</v>
      </c>
      <c r="C238" s="71">
        <v>0.77734230801009896</v>
      </c>
      <c r="D238" s="69">
        <v>1608632.705454973</v>
      </c>
      <c r="E238" s="72">
        <v>173570.31207605801</v>
      </c>
    </row>
    <row r="239" spans="2:5" x14ac:dyDescent="0.3">
      <c r="B239" s="72">
        <v>28.565590324604401</v>
      </c>
      <c r="C239" s="71">
        <v>0.70631283743485695</v>
      </c>
      <c r="D239" s="69">
        <v>1365384.7981378832</v>
      </c>
      <c r="E239" s="72">
        <v>170909.42814725399</v>
      </c>
    </row>
    <row r="240" spans="2:5" x14ac:dyDescent="0.3">
      <c r="B240" s="72">
        <v>28.592647478607699</v>
      </c>
      <c r="C240" s="71">
        <v>0.70691215122916995</v>
      </c>
      <c r="D240" s="69">
        <v>1462363.9020884358</v>
      </c>
      <c r="E240" s="72">
        <v>163632.741289283</v>
      </c>
    </row>
    <row r="241" spans="2:5" x14ac:dyDescent="0.3">
      <c r="B241" s="72">
        <v>28.620980360465001</v>
      </c>
      <c r="C241" s="71">
        <v>0.65425756714612504</v>
      </c>
      <c r="D241" s="69">
        <v>1247107.8700347459</v>
      </c>
      <c r="E241" s="72">
        <v>158007.26754869401</v>
      </c>
    </row>
    <row r="242" spans="2:5" x14ac:dyDescent="0.3">
      <c r="B242" s="72">
        <v>28.702162072779501</v>
      </c>
      <c r="C242" s="71">
        <v>0.858090260342528</v>
      </c>
      <c r="D242" s="69">
        <v>1793813.4890204447</v>
      </c>
      <c r="E242" s="72">
        <v>191189.59878305599</v>
      </c>
    </row>
    <row r="243" spans="2:5" x14ac:dyDescent="0.3">
      <c r="B243" s="72">
        <v>28.7219607133251</v>
      </c>
      <c r="C243" s="71">
        <v>0.71533383494125502</v>
      </c>
      <c r="D243" s="69">
        <v>1478971.6456521747</v>
      </c>
      <c r="E243" s="72">
        <v>166738.332764997</v>
      </c>
    </row>
    <row r="244" spans="2:5" x14ac:dyDescent="0.3">
      <c r="B244" s="72">
        <v>28.733048846174501</v>
      </c>
      <c r="C244" s="71">
        <v>0.80970562729911899</v>
      </c>
      <c r="D244" s="69">
        <v>1674677.8245712309</v>
      </c>
      <c r="E244" s="72">
        <v>181714.568227699</v>
      </c>
    </row>
    <row r="245" spans="2:5" x14ac:dyDescent="0.3">
      <c r="B245" s="72">
        <v>28.775217167565</v>
      </c>
      <c r="C245" s="71">
        <v>0.78650744812122197</v>
      </c>
      <c r="D245" s="69">
        <v>1625926.4509496028</v>
      </c>
      <c r="E245" s="72">
        <v>178772.05781692901</v>
      </c>
    </row>
    <row r="246" spans="2:5" x14ac:dyDescent="0.3">
      <c r="B246" s="72">
        <v>28.787547583832399</v>
      </c>
      <c r="C246" s="71">
        <v>0.820201952960114</v>
      </c>
      <c r="D246" s="69">
        <v>1710480.4881523338</v>
      </c>
      <c r="E246" s="72">
        <v>185086.06363020101</v>
      </c>
    </row>
    <row r="247" spans="2:5" x14ac:dyDescent="0.3">
      <c r="B247" s="72">
        <v>28.865544005793002</v>
      </c>
      <c r="C247" s="71">
        <v>0.78030740861034098</v>
      </c>
      <c r="D247" s="69">
        <v>1612506.0428427528</v>
      </c>
      <c r="E247" s="72">
        <v>178842.51449737401</v>
      </c>
    </row>
    <row r="248" spans="2:5" x14ac:dyDescent="0.3">
      <c r="B248" s="72">
        <v>28.8727345100611</v>
      </c>
      <c r="C248" s="71">
        <v>0.70496639119461602</v>
      </c>
      <c r="D248" s="69">
        <v>1456413.3759538685</v>
      </c>
      <c r="E248" s="72">
        <v>167603.48408941101</v>
      </c>
    </row>
    <row r="249" spans="2:5" x14ac:dyDescent="0.3">
      <c r="B249" s="72">
        <v>28.882143383390702</v>
      </c>
      <c r="C249" s="71">
        <v>0.69737925995887895</v>
      </c>
      <c r="D249" s="69">
        <v>1440801.5087760454</v>
      </c>
      <c r="E249" s="72">
        <v>166373.17193549001</v>
      </c>
    </row>
    <row r="250" spans="2:5" x14ac:dyDescent="0.3">
      <c r="B250" s="72">
        <v>28.9005042681625</v>
      </c>
      <c r="C250" s="71">
        <v>0.84012693350273704</v>
      </c>
      <c r="D250" s="69">
        <v>1757643.5937662476</v>
      </c>
      <c r="E250" s="72">
        <v>190743.61813818</v>
      </c>
    </row>
    <row r="251" spans="2:5" x14ac:dyDescent="0.3">
      <c r="B251" s="72">
        <v>28.957447488904801</v>
      </c>
      <c r="C251" s="71">
        <v>0.71783468772061199</v>
      </c>
      <c r="D251" s="69">
        <v>1379889.4813238569</v>
      </c>
      <c r="E251" s="72">
        <v>179513.074923512</v>
      </c>
    </row>
    <row r="252" spans="2:5" x14ac:dyDescent="0.3">
      <c r="B252" s="72">
        <v>29.042265547680099</v>
      </c>
      <c r="C252" s="71">
        <v>0.84304719266551498</v>
      </c>
      <c r="D252" s="69">
        <v>1761615.7937376124</v>
      </c>
      <c r="E252" s="72">
        <v>193050.409373962</v>
      </c>
    </row>
    <row r="253" spans="2:5" x14ac:dyDescent="0.3">
      <c r="B253" s="72">
        <v>29.048069937013501</v>
      </c>
      <c r="C253" s="71">
        <v>0.22670062711563799</v>
      </c>
      <c r="D253" s="69">
        <v>153950.99976579577</v>
      </c>
      <c r="E253" s="72">
        <v>70542.760019001304</v>
      </c>
    </row>
    <row r="254" spans="2:5" x14ac:dyDescent="0.3">
      <c r="B254" s="72">
        <v>29.0668262468952</v>
      </c>
      <c r="C254" s="71">
        <v>0.70480975186390105</v>
      </c>
      <c r="D254" s="69">
        <v>1454979.5318086497</v>
      </c>
      <c r="E254" s="72">
        <v>170174.95003341101</v>
      </c>
    </row>
    <row r="255" spans="2:5" x14ac:dyDescent="0.3">
      <c r="B255" s="72">
        <v>29.075909915786099</v>
      </c>
      <c r="C255" s="71">
        <v>0.81221724131398298</v>
      </c>
      <c r="D255" s="69">
        <v>1678434.1271705735</v>
      </c>
      <c r="E255" s="72">
        <v>187311.30072389601</v>
      </c>
    </row>
    <row r="256" spans="2:5" x14ac:dyDescent="0.3">
      <c r="B256" s="72">
        <v>29.079026035758901</v>
      </c>
      <c r="C256" s="71">
        <v>0.85852496847293203</v>
      </c>
      <c r="D256" s="69">
        <v>1772926.2140145961</v>
      </c>
      <c r="E256" s="72">
        <v>195325.29400651701</v>
      </c>
    </row>
    <row r="257" spans="2:5" x14ac:dyDescent="0.3">
      <c r="B257" s="72">
        <v>29.1444144560114</v>
      </c>
      <c r="C257" s="71">
        <v>0.72619305379857102</v>
      </c>
      <c r="D257" s="69">
        <v>1498667.4729617022</v>
      </c>
      <c r="E257" s="72">
        <v>174556.43262065799</v>
      </c>
    </row>
    <row r="258" spans="2:5" x14ac:dyDescent="0.3">
      <c r="B258" s="72">
        <v>29.1674381534906</v>
      </c>
      <c r="C258" s="71">
        <v>0.158712494079226</v>
      </c>
      <c r="D258" s="69">
        <v>53821.348446958516</v>
      </c>
      <c r="E258" s="72">
        <v>49148.125801302303</v>
      </c>
    </row>
    <row r="259" spans="2:5" x14ac:dyDescent="0.3">
      <c r="B259" s="72">
        <v>29.186334319139799</v>
      </c>
      <c r="C259" s="71">
        <v>0.83630653793505605</v>
      </c>
      <c r="D259" s="69">
        <v>1727376.5340121163</v>
      </c>
      <c r="E259" s="72">
        <v>193149.909154597</v>
      </c>
    </row>
    <row r="260" spans="2:5" x14ac:dyDescent="0.3">
      <c r="B260" s="72">
        <v>29.187083339692499</v>
      </c>
      <c r="C260" s="71">
        <v>0.70938629518361396</v>
      </c>
      <c r="D260" s="69">
        <v>1463656.0350419313</v>
      </c>
      <c r="E260" s="72">
        <v>172634.55389265399</v>
      </c>
    </row>
    <row r="261" spans="2:5" x14ac:dyDescent="0.3">
      <c r="B261" s="72">
        <v>29.1882691287882</v>
      </c>
      <c r="C261" s="71">
        <v>0.72882265781190103</v>
      </c>
      <c r="D261" s="69">
        <v>1503871.7406999234</v>
      </c>
      <c r="E261" s="72">
        <v>175749.864761623</v>
      </c>
    </row>
    <row r="262" spans="2:5" x14ac:dyDescent="0.3">
      <c r="B262" s="72">
        <v>29.198458135588101</v>
      </c>
      <c r="C262" s="71">
        <v>0.73807141100310303</v>
      </c>
      <c r="D262" s="69">
        <v>1525155.0411751627</v>
      </c>
      <c r="E262" s="72">
        <v>177574.97254464999</v>
      </c>
    </row>
    <row r="263" spans="2:5" x14ac:dyDescent="0.3">
      <c r="B263" s="72">
        <v>29.2386793407445</v>
      </c>
      <c r="C263" s="71">
        <v>0.89582732864751602</v>
      </c>
      <c r="D263" s="69">
        <v>1857229.9506091683</v>
      </c>
      <c r="E263" s="72">
        <v>205371.189024247</v>
      </c>
    </row>
    <row r="264" spans="2:5" x14ac:dyDescent="0.3">
      <c r="B264" s="72">
        <v>29.268641621881901</v>
      </c>
      <c r="C264" s="71">
        <v>0.83271290787397501</v>
      </c>
      <c r="D264" s="69">
        <v>1740040.0113773355</v>
      </c>
      <c r="E264" s="72">
        <v>195268.51228863199</v>
      </c>
    </row>
    <row r="265" spans="2:5" x14ac:dyDescent="0.3">
      <c r="B265" s="72">
        <v>29.271542631055599</v>
      </c>
      <c r="C265" s="71">
        <v>0.84140814784790896</v>
      </c>
      <c r="D265" s="69">
        <v>1686110.7914926955</v>
      </c>
      <c r="E265" s="72">
        <v>202303.51165474899</v>
      </c>
    </row>
    <row r="266" spans="2:5" x14ac:dyDescent="0.3">
      <c r="B266" s="72">
        <v>29.316519796105499</v>
      </c>
      <c r="C266" s="71">
        <v>0.82865411967783598</v>
      </c>
      <c r="D266" s="69">
        <v>1709442.8014968494</v>
      </c>
      <c r="E266" s="72">
        <v>193789.70759073799</v>
      </c>
    </row>
    <row r="267" spans="2:5" x14ac:dyDescent="0.3">
      <c r="B267" s="72">
        <v>29.365565279212198</v>
      </c>
      <c r="C267" s="71">
        <v>0.73424099675311905</v>
      </c>
      <c r="D267" s="69">
        <v>1515373.758776946</v>
      </c>
      <c r="E267" s="72">
        <v>179189.13554704099</v>
      </c>
    </row>
    <row r="268" spans="2:5" x14ac:dyDescent="0.3">
      <c r="B268" s="72">
        <v>29.421165374247298</v>
      </c>
      <c r="C268" s="71">
        <v>0.72705235035317295</v>
      </c>
      <c r="D268" s="69">
        <v>1498611.0384620696</v>
      </c>
      <c r="E268" s="72">
        <v>178798.84611647899</v>
      </c>
    </row>
    <row r="269" spans="2:5" x14ac:dyDescent="0.3">
      <c r="B269" s="72">
        <v>29.460252995306998</v>
      </c>
      <c r="C269" s="71">
        <v>0.89866501529431297</v>
      </c>
      <c r="D269" s="69">
        <v>1867214.886799087</v>
      </c>
      <c r="E269" s="72">
        <v>209492.965333545</v>
      </c>
    </row>
    <row r="270" spans="2:5" x14ac:dyDescent="0.3">
      <c r="B270" s="72">
        <v>29.468507721251001</v>
      </c>
      <c r="C270" s="71">
        <v>0.81771206913435901</v>
      </c>
      <c r="D270" s="69">
        <v>1698321.937687889</v>
      </c>
      <c r="E270" s="72">
        <v>194716.386589715</v>
      </c>
    </row>
    <row r="271" spans="2:5" x14ac:dyDescent="0.3">
      <c r="B271" s="72">
        <v>29.614829778610702</v>
      </c>
      <c r="C271" s="71">
        <v>0.82572925626407501</v>
      </c>
      <c r="D271" s="69">
        <v>1704067.9985100999</v>
      </c>
      <c r="E271" s="72">
        <v>198206.51291081999</v>
      </c>
    </row>
    <row r="272" spans="2:5" x14ac:dyDescent="0.3">
      <c r="B272" s="72">
        <v>29.674188137434399</v>
      </c>
      <c r="C272" s="71">
        <v>0.831920684325548</v>
      </c>
      <c r="D272" s="69">
        <v>1713331.6452558043</v>
      </c>
      <c r="E272" s="72">
        <v>200066.32303459899</v>
      </c>
    </row>
    <row r="273" spans="2:5" x14ac:dyDescent="0.3">
      <c r="B273" s="72">
        <v>29.761473231560601</v>
      </c>
      <c r="C273" s="71">
        <v>0.84744637182014204</v>
      </c>
      <c r="D273" s="69">
        <v>1691324.9798690556</v>
      </c>
      <c r="E273" s="72">
        <v>211338.49845284401</v>
      </c>
    </row>
    <row r="274" spans="2:5" x14ac:dyDescent="0.3">
      <c r="B274" s="72">
        <v>29.854330306344298</v>
      </c>
      <c r="C274" s="71">
        <v>0.74101928301678999</v>
      </c>
      <c r="D274" s="69">
        <v>1524401.7384718994</v>
      </c>
      <c r="E274" s="72">
        <v>187712.197311403</v>
      </c>
    </row>
    <row r="275" spans="2:5" x14ac:dyDescent="0.3">
      <c r="B275" s="72">
        <v>29.873158193336099</v>
      </c>
      <c r="C275" s="71">
        <v>0.89992106684218598</v>
      </c>
      <c r="D275" s="69">
        <v>1853819.4797488749</v>
      </c>
      <c r="E275" s="72">
        <v>216119.67566599301</v>
      </c>
    </row>
    <row r="276" spans="2:5" x14ac:dyDescent="0.3">
      <c r="B276" s="72">
        <v>29.9062429197757</v>
      </c>
      <c r="C276" s="71">
        <v>0.85325807228176698</v>
      </c>
      <c r="D276" s="69">
        <v>1755595.7068327798</v>
      </c>
      <c r="E276" s="72">
        <v>207644.87420312499</v>
      </c>
    </row>
    <row r="277" spans="2:5" x14ac:dyDescent="0.3">
      <c r="B277" s="72">
        <v>29.9448214420817</v>
      </c>
      <c r="C277" s="71">
        <v>0.82026799456752597</v>
      </c>
      <c r="D277" s="69">
        <v>1688222.0638402533</v>
      </c>
      <c r="E277" s="72">
        <v>202358.516723854</v>
      </c>
    </row>
    <row r="278" spans="2:5" x14ac:dyDescent="0.3">
      <c r="B278" s="72">
        <v>29.967788622130399</v>
      </c>
      <c r="C278" s="71">
        <v>0.89789044453773004</v>
      </c>
      <c r="D278" s="69">
        <v>1853332.7306633994</v>
      </c>
      <c r="E278" s="72">
        <v>217146.873532192</v>
      </c>
    </row>
    <row r="279" spans="2:5" x14ac:dyDescent="0.3">
      <c r="B279" s="72">
        <v>29.9712086616987</v>
      </c>
      <c r="C279" s="71">
        <v>0.74114503799306097</v>
      </c>
      <c r="D279" s="69">
        <v>1524061.7087566231</v>
      </c>
      <c r="E279" s="72">
        <v>189636.96726988701</v>
      </c>
    </row>
    <row r="280" spans="2:5" x14ac:dyDescent="0.3">
      <c r="B280" s="72">
        <v>30.012662375857001</v>
      </c>
      <c r="C280" s="71">
        <v>0.77384538607482201</v>
      </c>
      <c r="D280" s="69">
        <v>1547402.8053512238</v>
      </c>
      <c r="E280" s="72">
        <v>198005.796177743</v>
      </c>
    </row>
    <row r="281" spans="2:5" x14ac:dyDescent="0.3">
      <c r="B281" s="72">
        <v>30.018090248194301</v>
      </c>
      <c r="C281" s="71">
        <v>0.76646565508145204</v>
      </c>
      <c r="D281" s="69">
        <v>1576216.9634398639</v>
      </c>
      <c r="E281" s="72">
        <v>194500.178532772</v>
      </c>
    </row>
    <row r="282" spans="2:5" x14ac:dyDescent="0.3">
      <c r="B282" s="72">
        <v>30.042783744184899</v>
      </c>
      <c r="C282" s="71">
        <v>0.94348273967600005</v>
      </c>
      <c r="D282" s="69">
        <v>1953164.3672929315</v>
      </c>
      <c r="E282" s="72">
        <v>228429.41890637099</v>
      </c>
    </row>
    <row r="283" spans="2:5" x14ac:dyDescent="0.3">
      <c r="B283" s="72">
        <v>30.048681550756498</v>
      </c>
      <c r="C283" s="71">
        <v>0.81869218642184904</v>
      </c>
      <c r="D283" s="69">
        <v>1684373.4603699329</v>
      </c>
      <c r="E283" s="72">
        <v>204410.92987819901</v>
      </c>
    </row>
    <row r="284" spans="2:5" x14ac:dyDescent="0.3">
      <c r="B284" s="72">
        <v>30.058532626737801</v>
      </c>
      <c r="C284" s="71">
        <v>0.94520795478753905</v>
      </c>
      <c r="D284" s="69">
        <v>1963571.9981243315</v>
      </c>
      <c r="E284" s="72">
        <v>228622.64807378399</v>
      </c>
    </row>
    <row r="285" spans="2:5" x14ac:dyDescent="0.3">
      <c r="B285" s="72">
        <v>30.151475144192901</v>
      </c>
      <c r="C285" s="71">
        <v>0.88429748837340905</v>
      </c>
      <c r="D285" s="69">
        <v>1821378.5466655479</v>
      </c>
      <c r="E285" s="72">
        <v>218229.36941282501</v>
      </c>
    </row>
    <row r="286" spans="2:5" x14ac:dyDescent="0.3">
      <c r="B286" s="72">
        <v>30.178731730877701</v>
      </c>
      <c r="C286" s="71">
        <v>0.90533594585286603</v>
      </c>
      <c r="D286" s="69">
        <v>1873206.0652791008</v>
      </c>
      <c r="E286" s="72">
        <v>222713.431479789</v>
      </c>
    </row>
    <row r="287" spans="2:5" x14ac:dyDescent="0.3">
      <c r="B287" s="72">
        <v>30.2247537936939</v>
      </c>
      <c r="C287" s="71">
        <v>0.88802962470478397</v>
      </c>
      <c r="D287" s="69">
        <v>1826922.4272778237</v>
      </c>
      <c r="E287" s="72">
        <v>219590.27319718301</v>
      </c>
    </row>
    <row r="288" spans="2:5" x14ac:dyDescent="0.3">
      <c r="B288" s="72">
        <v>30.286316797631599</v>
      </c>
      <c r="C288" s="71">
        <v>0.88744336787299405</v>
      </c>
      <c r="D288" s="69">
        <v>1824299.596452351</v>
      </c>
      <c r="E288" s="72">
        <v>220458.82378404299</v>
      </c>
    </row>
    <row r="289" spans="2:5" x14ac:dyDescent="0.3">
      <c r="B289" s="72">
        <v>30.296497813870999</v>
      </c>
      <c r="C289" s="71">
        <v>0.75669562223990305</v>
      </c>
      <c r="D289" s="69">
        <v>1553570.0412036723</v>
      </c>
      <c r="E289" s="72">
        <v>197184.68633817401</v>
      </c>
    </row>
    <row r="290" spans="2:5" x14ac:dyDescent="0.3">
      <c r="B290" s="72">
        <v>30.361109368733501</v>
      </c>
      <c r="C290" s="71">
        <v>0.94681426649265399</v>
      </c>
      <c r="D290" s="69">
        <v>1962068.0101645747</v>
      </c>
      <c r="E290" s="72">
        <v>235046.33197601599</v>
      </c>
    </row>
    <row r="291" spans="2:5" x14ac:dyDescent="0.3">
      <c r="B291" s="72">
        <v>30.415958797370099</v>
      </c>
      <c r="C291" s="71">
        <v>0.90811517672337105</v>
      </c>
      <c r="D291" s="69">
        <v>1864920.6025366494</v>
      </c>
      <c r="E291" s="72">
        <v>226732.26285550301</v>
      </c>
    </row>
    <row r="292" spans="2:5" x14ac:dyDescent="0.3">
      <c r="B292" s="72">
        <v>30.430948475482399</v>
      </c>
      <c r="C292" s="71">
        <v>0.903253905837057</v>
      </c>
      <c r="D292" s="69">
        <v>1865510.4110098083</v>
      </c>
      <c r="E292" s="72">
        <v>226540.71357314801</v>
      </c>
    </row>
    <row r="293" spans="2:5" x14ac:dyDescent="0.3">
      <c r="B293" s="72">
        <v>30.4956339577348</v>
      </c>
      <c r="C293" s="71">
        <v>0.93871604702156797</v>
      </c>
      <c r="D293" s="69">
        <v>1928821.3015580184</v>
      </c>
      <c r="E293" s="72">
        <v>234460.93306681799</v>
      </c>
    </row>
    <row r="294" spans="2:5" x14ac:dyDescent="0.3">
      <c r="B294" s="72">
        <v>30.498572126773901</v>
      </c>
      <c r="C294" s="71">
        <v>0.97712186967307102</v>
      </c>
      <c r="D294" s="69">
        <v>2006252.5873525587</v>
      </c>
      <c r="E294" s="72">
        <v>242701.85024698399</v>
      </c>
    </row>
    <row r="295" spans="2:5" x14ac:dyDescent="0.3">
      <c r="B295" s="72">
        <v>30.6750234407397</v>
      </c>
      <c r="C295" s="71">
        <v>0.96147557255067695</v>
      </c>
      <c r="D295" s="69">
        <v>1980584.6925348979</v>
      </c>
      <c r="E295" s="72">
        <v>242486.87129777501</v>
      </c>
    </row>
    <row r="296" spans="2:5" x14ac:dyDescent="0.3">
      <c r="B296" s="72">
        <v>30.682602160241</v>
      </c>
      <c r="C296" s="71">
        <v>0.97800666933745195</v>
      </c>
      <c r="D296" s="69">
        <v>2038753.328345096</v>
      </c>
      <c r="E296" s="72">
        <v>246307.02967761501</v>
      </c>
    </row>
    <row r="297" spans="2:5" x14ac:dyDescent="0.3">
      <c r="B297" s="72">
        <v>30.6883396660673</v>
      </c>
      <c r="C297" s="71">
        <v>0.72331456682232598</v>
      </c>
      <c r="D297" s="69">
        <v>1391305.673733908</v>
      </c>
      <c r="E297" s="72">
        <v>208405.979713123</v>
      </c>
    </row>
    <row r="298" spans="2:5" x14ac:dyDescent="0.3">
      <c r="B298" s="72">
        <v>30.689415052186199</v>
      </c>
      <c r="C298" s="71">
        <v>0.94019041744763998</v>
      </c>
      <c r="D298" s="69">
        <v>1928217.1390775223</v>
      </c>
      <c r="E298" s="72">
        <v>238021.84957897899</v>
      </c>
    </row>
    <row r="299" spans="2:5" x14ac:dyDescent="0.3">
      <c r="B299" s="72">
        <v>30.725139650528501</v>
      </c>
      <c r="C299" s="71">
        <v>0.97816469908270898</v>
      </c>
      <c r="D299" s="69">
        <v>2012189.5798746909</v>
      </c>
      <c r="E299" s="72">
        <v>246944.623791105</v>
      </c>
    </row>
    <row r="300" spans="2:5" x14ac:dyDescent="0.3">
      <c r="B300" s="72">
        <v>30.7389586398298</v>
      </c>
      <c r="C300" s="71">
        <v>0.887545598941755</v>
      </c>
      <c r="D300" s="69">
        <v>1835625.8086016965</v>
      </c>
      <c r="E300" s="72">
        <v>228673.11074291301</v>
      </c>
    </row>
    <row r="301" spans="2:5" x14ac:dyDescent="0.3">
      <c r="B301" s="72">
        <v>30.7775624354834</v>
      </c>
      <c r="C301" s="71">
        <v>0.93033190571122404</v>
      </c>
      <c r="D301" s="69">
        <v>1912717.3587014736</v>
      </c>
      <c r="E301" s="72">
        <v>237713.76397454599</v>
      </c>
    </row>
    <row r="302" spans="2:5" x14ac:dyDescent="0.3">
      <c r="B302" s="72">
        <v>30.8548317273601</v>
      </c>
      <c r="C302" s="71">
        <v>0.93372584908174805</v>
      </c>
      <c r="D302" s="69">
        <v>1931910.8781701939</v>
      </c>
      <c r="E302" s="72">
        <v>240249.43774539401</v>
      </c>
    </row>
    <row r="303" spans="2:5" x14ac:dyDescent="0.3">
      <c r="B303" s="72">
        <v>30.871962998344198</v>
      </c>
      <c r="C303" s="71">
        <v>0.94144578167363602</v>
      </c>
      <c r="D303" s="69">
        <v>1928834.2777712019</v>
      </c>
      <c r="E303" s="72">
        <v>241493.469004493</v>
      </c>
    </row>
    <row r="304" spans="2:5" x14ac:dyDescent="0.3">
      <c r="B304" s="72">
        <v>30.876715642243301</v>
      </c>
      <c r="C304" s="71">
        <v>0.92091164421902605</v>
      </c>
      <c r="D304" s="69">
        <v>1886665.593114353</v>
      </c>
      <c r="E304" s="72">
        <v>237283.41833685999</v>
      </c>
    </row>
    <row r="305" spans="2:5" x14ac:dyDescent="0.3">
      <c r="B305" s="72">
        <v>30.9160818042796</v>
      </c>
      <c r="C305" s="71">
        <v>0.93062441958598097</v>
      </c>
      <c r="D305" s="69">
        <v>1922034.9156803014</v>
      </c>
      <c r="E305" s="72">
        <v>240454.617218475</v>
      </c>
    </row>
    <row r="306" spans="2:5" x14ac:dyDescent="0.3">
      <c r="B306" s="72">
        <v>31.0165630993733</v>
      </c>
      <c r="C306" s="71">
        <v>0.97910759430715999</v>
      </c>
      <c r="D306" s="69">
        <v>2005405.892317794</v>
      </c>
      <c r="E306" s="72">
        <v>252377.82062770199</v>
      </c>
    </row>
    <row r="307" spans="2:5" x14ac:dyDescent="0.3">
      <c r="B307" s="72">
        <v>31.038176826835802</v>
      </c>
      <c r="C307" s="71">
        <v>0.95645328971360699</v>
      </c>
      <c r="D307" s="69">
        <v>1965438.7367128269</v>
      </c>
      <c r="E307" s="72">
        <v>247894.411755718</v>
      </c>
    </row>
    <row r="308" spans="2:5" x14ac:dyDescent="0.3">
      <c r="B308" s="72">
        <v>31.050877298835101</v>
      </c>
      <c r="C308" s="71">
        <v>0.91204117033980203</v>
      </c>
      <c r="D308" s="69">
        <v>1868188.7479843814</v>
      </c>
      <c r="E308" s="72">
        <v>238687.63252822999</v>
      </c>
    </row>
    <row r="309" spans="2:5" x14ac:dyDescent="0.3">
      <c r="B309" s="72">
        <v>31.067669005438098</v>
      </c>
      <c r="C309" s="71">
        <v>0.97976403575883597</v>
      </c>
      <c r="D309" s="69">
        <v>2014448.7157197082</v>
      </c>
      <c r="E309" s="72">
        <v>253454.488295925</v>
      </c>
    </row>
    <row r="310" spans="2:5" x14ac:dyDescent="0.3">
      <c r="B310" s="72">
        <v>31.095333345838899</v>
      </c>
      <c r="C310" s="71">
        <v>0.97012022991232305</v>
      </c>
      <c r="D310" s="69">
        <v>1987295.1719100347</v>
      </c>
      <c r="E310" s="72">
        <v>251832.68347213499</v>
      </c>
    </row>
    <row r="311" spans="2:5" x14ac:dyDescent="0.3">
      <c r="B311" s="72">
        <v>31.124553067461498</v>
      </c>
      <c r="C311" s="71">
        <v>0.98003076902029096</v>
      </c>
      <c r="D311" s="69">
        <v>2006154.2059755062</v>
      </c>
      <c r="E311" s="72">
        <v>254540.32449621399</v>
      </c>
    </row>
    <row r="312" spans="2:5" x14ac:dyDescent="0.3">
      <c r="B312" s="72">
        <v>31.176928084840799</v>
      </c>
      <c r="C312" s="71">
        <v>0.94088723818453401</v>
      </c>
      <c r="D312" s="69">
        <v>1933278.687320767</v>
      </c>
      <c r="E312" s="72">
        <v>247235.21539113999</v>
      </c>
    </row>
    <row r="313" spans="2:5" x14ac:dyDescent="0.3">
      <c r="B313" s="72">
        <v>31.1871043706956</v>
      </c>
      <c r="C313" s="71">
        <v>0.90779196204749701</v>
      </c>
      <c r="D313" s="69">
        <v>1879480.9882747682</v>
      </c>
      <c r="E313" s="72">
        <v>240726.819675009</v>
      </c>
    </row>
    <row r="314" spans="2:5" x14ac:dyDescent="0.3">
      <c r="B314" s="72">
        <v>31.2056481429595</v>
      </c>
      <c r="C314" s="71">
        <v>0.90710548942619995</v>
      </c>
      <c r="D314" s="69">
        <v>1861240.6152842578</v>
      </c>
      <c r="E314" s="72">
        <v>240755.99294392299</v>
      </c>
    </row>
    <row r="315" spans="2:5" x14ac:dyDescent="0.3">
      <c r="B315" s="72">
        <v>31.244729497080002</v>
      </c>
      <c r="C315" s="71">
        <v>0.93379834257003402</v>
      </c>
      <c r="D315" s="69">
        <v>1911224.9706091448</v>
      </c>
      <c r="E315" s="72">
        <v>246620.224867832</v>
      </c>
    </row>
    <row r="316" spans="2:5" x14ac:dyDescent="0.3">
      <c r="B316" s="72">
        <v>31.2790320280629</v>
      </c>
      <c r="C316" s="71">
        <v>0.98013398607078195</v>
      </c>
      <c r="D316" s="69">
        <v>2005491.2267128448</v>
      </c>
      <c r="E316" s="72">
        <v>257410.60230508499</v>
      </c>
    </row>
    <row r="317" spans="2:5" x14ac:dyDescent="0.3">
      <c r="B317" s="72">
        <v>31.352223672685</v>
      </c>
      <c r="C317" s="71">
        <v>0.96122226633382801</v>
      </c>
      <c r="D317" s="69">
        <v>1969694.4098730618</v>
      </c>
      <c r="E317" s="72">
        <v>254570.82061759199</v>
      </c>
    </row>
    <row r="318" spans="2:5" x14ac:dyDescent="0.3">
      <c r="B318" s="72">
        <v>31.356801078181299</v>
      </c>
      <c r="C318" s="71">
        <v>0.98114285598415896</v>
      </c>
      <c r="D318" s="69">
        <v>2032663.4004216341</v>
      </c>
      <c r="E318" s="72">
        <v>259069.47904405399</v>
      </c>
    </row>
    <row r="319" spans="2:5" x14ac:dyDescent="0.3">
      <c r="B319" s="72">
        <v>31.3863151928898</v>
      </c>
      <c r="C319" s="71">
        <v>0.98127496720567797</v>
      </c>
      <c r="D319" s="69">
        <v>2028217.0904855907</v>
      </c>
      <c r="E319" s="72">
        <v>259606.861264323</v>
      </c>
    </row>
    <row r="320" spans="2:5" x14ac:dyDescent="0.3">
      <c r="B320" s="72">
        <v>31.411490139669901</v>
      </c>
      <c r="C320" s="71">
        <v>0.96834563523813499</v>
      </c>
      <c r="D320" s="69">
        <v>1979147.7492791093</v>
      </c>
      <c r="E320" s="72">
        <v>257135.332918876</v>
      </c>
    </row>
    <row r="321" spans="2:5" x14ac:dyDescent="0.3">
      <c r="B321" s="72">
        <v>31.4128896876087</v>
      </c>
      <c r="C321" s="71">
        <v>0.96055881530152398</v>
      </c>
      <c r="D321" s="69">
        <v>1962983.8879352808</v>
      </c>
      <c r="E321" s="72">
        <v>255394.03653952401</v>
      </c>
    </row>
    <row r="322" spans="2:5" x14ac:dyDescent="0.3">
      <c r="B322" s="72">
        <v>31.4288318186934</v>
      </c>
      <c r="C322" s="71">
        <v>0.93910334828834396</v>
      </c>
      <c r="D322" s="69">
        <v>1920254.915548671</v>
      </c>
      <c r="E322" s="72">
        <v>251030.02890797</v>
      </c>
    </row>
    <row r="323" spans="2:5" x14ac:dyDescent="0.3">
      <c r="B323" s="72">
        <v>31.447416294434699</v>
      </c>
      <c r="C323" s="71">
        <v>0.89566951345491697</v>
      </c>
      <c r="D323" s="69">
        <v>1835190.2584659345</v>
      </c>
      <c r="E323" s="72">
        <v>242793.71602881301</v>
      </c>
    </row>
    <row r="324" spans="2:5" x14ac:dyDescent="0.3">
      <c r="B324" s="72">
        <v>31.449208989155601</v>
      </c>
      <c r="C324" s="71">
        <v>0.98157474836801795</v>
      </c>
      <c r="D324" s="69">
        <v>2006743.5503974457</v>
      </c>
      <c r="E324" s="72">
        <v>260827.68020147301</v>
      </c>
    </row>
    <row r="325" spans="2:5" x14ac:dyDescent="0.3">
      <c r="B325" s="72">
        <v>31.478676551791398</v>
      </c>
      <c r="C325" s="71">
        <v>0.98171919557023302</v>
      </c>
      <c r="D325" s="69">
        <v>2006575.982653545</v>
      </c>
      <c r="E325" s="72">
        <v>261416.18852294199</v>
      </c>
    </row>
    <row r="326" spans="2:5" x14ac:dyDescent="0.3">
      <c r="B326" s="72">
        <v>31.504294520330902</v>
      </c>
      <c r="C326" s="71">
        <v>0.91524414106595298</v>
      </c>
      <c r="D326" s="69">
        <v>1889237.9164431198</v>
      </c>
      <c r="E326" s="72">
        <v>248539.834114172</v>
      </c>
    </row>
    <row r="327" spans="2:5" x14ac:dyDescent="0.3">
      <c r="B327" s="72">
        <v>31.598246545503901</v>
      </c>
      <c r="C327" s="71">
        <v>0.92411728080393496</v>
      </c>
      <c r="D327" s="69">
        <v>1900789.7151981189</v>
      </c>
      <c r="E327" s="72">
        <v>251531.770847587</v>
      </c>
    </row>
    <row r="328" spans="2:5" x14ac:dyDescent="0.3">
      <c r="B328" s="72">
        <v>31.653291496878499</v>
      </c>
      <c r="C328" s="71">
        <v>0.95603263493109403</v>
      </c>
      <c r="D328" s="69">
        <v>1951372.7188386843</v>
      </c>
      <c r="E328" s="72">
        <v>258790.22818595701</v>
      </c>
    </row>
    <row r="329" spans="2:5" x14ac:dyDescent="0.3">
      <c r="B329" s="72">
        <v>31.662336774314301</v>
      </c>
      <c r="C329" s="71">
        <v>0.98260077965838599</v>
      </c>
      <c r="D329" s="69">
        <v>2006361.5607672418</v>
      </c>
      <c r="E329" s="72">
        <v>265006.729722969</v>
      </c>
    </row>
    <row r="330" spans="2:5" x14ac:dyDescent="0.3">
      <c r="B330" s="72">
        <v>31.6868281094171</v>
      </c>
      <c r="C330" s="71">
        <v>0.97049351055323396</v>
      </c>
      <c r="D330" s="69">
        <v>1983468.4739897661</v>
      </c>
      <c r="E330" s="72">
        <v>262692.42088529997</v>
      </c>
    </row>
    <row r="331" spans="2:5" x14ac:dyDescent="0.3">
      <c r="B331" s="72">
        <v>31.735137792507601</v>
      </c>
      <c r="C331" s="71">
        <v>0.982191397401598</v>
      </c>
      <c r="D331" s="69">
        <v>2005733.3051277627</v>
      </c>
      <c r="E331" s="72">
        <v>266261.38372615201</v>
      </c>
    </row>
    <row r="332" spans="2:5" x14ac:dyDescent="0.3">
      <c r="B332" s="72">
        <v>31.942684343125201</v>
      </c>
      <c r="C332" s="71">
        <v>0.98396548461408295</v>
      </c>
      <c r="D332" s="69">
        <v>2006058.3959326397</v>
      </c>
      <c r="E332" s="72">
        <v>270565.88335030602</v>
      </c>
    </row>
    <row r="333" spans="2:5" x14ac:dyDescent="0.3">
      <c r="B333" s="72">
        <v>32.013581207550303</v>
      </c>
      <c r="C333" s="71">
        <v>0.98423735702266801</v>
      </c>
      <c r="D333" s="69">
        <v>2008793.7092914493</v>
      </c>
      <c r="E333" s="72">
        <v>271966.54355614202</v>
      </c>
    </row>
    <row r="334" spans="2:5" x14ac:dyDescent="0.3">
      <c r="B334" s="72">
        <v>32.025359899113397</v>
      </c>
      <c r="C334" s="71">
        <v>0.98437177960077105</v>
      </c>
      <c r="D334" s="69">
        <v>2006118.6783649975</v>
      </c>
      <c r="E334" s="72">
        <v>272221.03060867701</v>
      </c>
    </row>
    <row r="335" spans="2:5" x14ac:dyDescent="0.3">
      <c r="B335" s="72">
        <v>32.041096843569399</v>
      </c>
      <c r="C335" s="71">
        <v>0.984452898220738</v>
      </c>
      <c r="D335" s="69">
        <v>2010684.2901755127</v>
      </c>
      <c r="E335" s="72">
        <v>272551.531116247</v>
      </c>
    </row>
    <row r="336" spans="2:5" x14ac:dyDescent="0.3">
      <c r="B336" s="72">
        <v>32.059622220714203</v>
      </c>
      <c r="C336" s="71">
        <v>0.96283090306152097</v>
      </c>
      <c r="D336" s="69">
        <v>1976732.9425420945</v>
      </c>
      <c r="E336" s="72">
        <v>268100.89610395097</v>
      </c>
    </row>
    <row r="337" spans="2:5" x14ac:dyDescent="0.3">
      <c r="B337" s="72">
        <v>32.0605416016733</v>
      </c>
      <c r="C337" s="71">
        <v>0.82455827876731003</v>
      </c>
      <c r="D337" s="69">
        <v>1597242.0274008941</v>
      </c>
      <c r="E337" s="72">
        <v>247788.23775772299</v>
      </c>
    </row>
    <row r="338" spans="2:5" x14ac:dyDescent="0.3">
      <c r="B338" s="72">
        <v>32.140310716333197</v>
      </c>
      <c r="C338" s="71">
        <v>0.98493614484223002</v>
      </c>
      <c r="D338" s="69">
        <v>2006274.9455216164</v>
      </c>
      <c r="E338" s="72">
        <v>274520.12913534802</v>
      </c>
    </row>
    <row r="339" spans="2:5" x14ac:dyDescent="0.3">
      <c r="B339" s="72">
        <v>32.141594626510503</v>
      </c>
      <c r="C339" s="71">
        <v>0.98494251575076097</v>
      </c>
      <c r="D339" s="69">
        <v>2006421.048901123</v>
      </c>
      <c r="E339" s="72">
        <v>274546.08330504602</v>
      </c>
    </row>
    <row r="340" spans="2:5" x14ac:dyDescent="0.3">
      <c r="B340" s="72">
        <v>32.1500712543383</v>
      </c>
      <c r="C340" s="71">
        <v>0.98500229105950199</v>
      </c>
      <c r="D340" s="69">
        <v>2008198.79068233</v>
      </c>
      <c r="E340" s="72">
        <v>274789.59422004898</v>
      </c>
    </row>
    <row r="341" spans="2:5" x14ac:dyDescent="0.3">
      <c r="B341" s="72">
        <v>32.183632552729897</v>
      </c>
      <c r="C341" s="71">
        <v>0.98515450619380096</v>
      </c>
      <c r="D341" s="69">
        <v>2016019.1948006109</v>
      </c>
      <c r="E341" s="72">
        <v>275409.69327942998</v>
      </c>
    </row>
    <row r="342" spans="2:5" x14ac:dyDescent="0.3">
      <c r="B342" s="72">
        <v>32.231793502169801</v>
      </c>
      <c r="C342" s="71">
        <v>0.98538947834719903</v>
      </c>
      <c r="D342" s="69">
        <v>2006158.0952391441</v>
      </c>
      <c r="E342" s="72">
        <v>276366.93860951503</v>
      </c>
    </row>
    <row r="343" spans="2:5" x14ac:dyDescent="0.3">
      <c r="B343" s="72">
        <v>32.313524986136002</v>
      </c>
      <c r="C343" s="71">
        <v>0.98579682891266596</v>
      </c>
      <c r="D343" s="69">
        <v>2006878.4744520397</v>
      </c>
      <c r="E343" s="72">
        <v>278026.39692412002</v>
      </c>
    </row>
    <row r="344" spans="2:5" x14ac:dyDescent="0.3">
      <c r="B344" s="72">
        <v>32.360944489027801</v>
      </c>
      <c r="C344" s="71">
        <v>0.98563782333857697</v>
      </c>
      <c r="D344" s="69">
        <v>2011813.7029099001</v>
      </c>
      <c r="E344" s="72">
        <v>279001.32826235</v>
      </c>
    </row>
    <row r="345" spans="2:5" x14ac:dyDescent="0.3">
      <c r="B345" s="72">
        <v>32.395389920539202</v>
      </c>
      <c r="C345" s="71">
        <v>0.98620550534177998</v>
      </c>
      <c r="D345" s="69">
        <v>2006502.6194454436</v>
      </c>
      <c r="E345" s="72">
        <v>279691.231185899</v>
      </c>
    </row>
    <row r="346" spans="2:5" x14ac:dyDescent="0.3">
      <c r="B346" s="72">
        <v>32.413297632731499</v>
      </c>
      <c r="C346" s="71">
        <v>0.986294334524637</v>
      </c>
      <c r="D346" s="69">
        <v>2006218.2556270296</v>
      </c>
      <c r="E346" s="72">
        <v>280053.11399512098</v>
      </c>
    </row>
    <row r="347" spans="2:5" x14ac:dyDescent="0.3">
      <c r="B347" s="72">
        <v>32.426387524226598</v>
      </c>
      <c r="C347" s="71">
        <v>0.98635961336164002</v>
      </c>
      <c r="D347" s="69">
        <v>2007344.6862406207</v>
      </c>
      <c r="E347" s="72">
        <v>280319.046606405</v>
      </c>
    </row>
    <row r="348" spans="2:5" x14ac:dyDescent="0.3">
      <c r="B348" s="72">
        <v>32.431089178961699</v>
      </c>
      <c r="C348" s="71">
        <v>0.98638412885591997</v>
      </c>
      <c r="D348" s="69">
        <v>2006503.3599891709</v>
      </c>
      <c r="E348" s="72">
        <v>280418.887343587</v>
      </c>
    </row>
    <row r="349" spans="2:5" x14ac:dyDescent="0.3">
      <c r="B349" s="72">
        <v>32.498755836604801</v>
      </c>
      <c r="C349" s="71">
        <v>0.92742531740883605</v>
      </c>
      <c r="D349" s="69">
        <v>1898616.9880339438</v>
      </c>
      <c r="E349" s="72">
        <v>268845.79815705802</v>
      </c>
    </row>
    <row r="350" spans="2:5" x14ac:dyDescent="0.3">
      <c r="B350" s="72">
        <v>32.544164641871703</v>
      </c>
      <c r="C350" s="71">
        <v>0.98695115525116095</v>
      </c>
      <c r="D350" s="69">
        <v>2008192.698764279</v>
      </c>
      <c r="E350" s="72">
        <v>282728.742159847</v>
      </c>
    </row>
    <row r="351" spans="2:5" x14ac:dyDescent="0.3">
      <c r="B351" s="72">
        <v>32.571078733466699</v>
      </c>
      <c r="C351" s="71">
        <v>0.98708652894833204</v>
      </c>
      <c r="D351" s="69">
        <v>2007827.4681128461</v>
      </c>
      <c r="E351" s="72">
        <v>283280.190796768</v>
      </c>
    </row>
    <row r="352" spans="2:5" x14ac:dyDescent="0.3">
      <c r="B352" s="72">
        <v>32.667803610186802</v>
      </c>
      <c r="C352" s="71">
        <v>0.98757704309744898</v>
      </c>
      <c r="D352" s="69">
        <v>2006776.7841897632</v>
      </c>
      <c r="E352" s="72">
        <v>285278.12586908299</v>
      </c>
    </row>
    <row r="353" spans="2:5" x14ac:dyDescent="0.3">
      <c r="B353" s="72">
        <v>32.731581934032903</v>
      </c>
      <c r="C353" s="71">
        <v>0.98790087310978303</v>
      </c>
      <c r="D353" s="69">
        <v>2008087.6059857716</v>
      </c>
      <c r="E353" s="72">
        <v>286597.10434133402</v>
      </c>
    </row>
    <row r="354" spans="2:5" x14ac:dyDescent="0.3">
      <c r="B354" s="72">
        <v>32.808959758187697</v>
      </c>
      <c r="C354" s="71">
        <v>0.98829284690848895</v>
      </c>
      <c r="D354" s="69">
        <v>2007226.4101617634</v>
      </c>
      <c r="E354" s="72">
        <v>288193.68081721698</v>
      </c>
    </row>
    <row r="355" spans="2:5" x14ac:dyDescent="0.3">
      <c r="B355" s="72">
        <v>32.853715891151403</v>
      </c>
      <c r="C355" s="71">
        <v>0.98852407205415005</v>
      </c>
      <c r="D355" s="69">
        <v>2006221.7276321338</v>
      </c>
      <c r="E355" s="72">
        <v>289135.19114512001</v>
      </c>
    </row>
    <row r="356" spans="2:5" x14ac:dyDescent="0.3">
      <c r="B356" s="72">
        <v>33.011646955321503</v>
      </c>
      <c r="C356" s="71">
        <v>0.989333177980394</v>
      </c>
      <c r="D356" s="69">
        <v>2006749.0284570493</v>
      </c>
      <c r="E356" s="72">
        <v>292430.17478942702</v>
      </c>
    </row>
    <row r="357" spans="2:5" x14ac:dyDescent="0.3">
      <c r="B357" s="72">
        <v>33.045750477826203</v>
      </c>
      <c r="C357" s="71">
        <v>0.98951246455276998</v>
      </c>
      <c r="D357" s="69">
        <v>2008994.3952155982</v>
      </c>
      <c r="E357" s="72">
        <v>293159.85351904901</v>
      </c>
    </row>
    <row r="358" spans="2:5" x14ac:dyDescent="0.3">
      <c r="B358" s="72">
        <v>33.076323974811999</v>
      </c>
      <c r="C358" s="71">
        <v>0.98966295885748301</v>
      </c>
      <c r="D358" s="69">
        <v>2007036.0292174844</v>
      </c>
      <c r="E358" s="72">
        <v>293773.31839844998</v>
      </c>
    </row>
    <row r="359" spans="2:5" x14ac:dyDescent="0.3">
      <c r="B359" s="72">
        <v>33.0782641078954</v>
      </c>
      <c r="C359" s="71">
        <v>0.989672754391416</v>
      </c>
      <c r="D359" s="69">
        <v>2006594.8114254032</v>
      </c>
      <c r="E359" s="72">
        <v>293813.22478148201</v>
      </c>
    </row>
    <row r="360" spans="2:5" x14ac:dyDescent="0.3">
      <c r="B360" s="72">
        <v>33.143802411028503</v>
      </c>
      <c r="C360" s="71">
        <v>0.99001101076611298</v>
      </c>
      <c r="D360" s="69">
        <v>2007530.4966902994</v>
      </c>
      <c r="E360" s="72">
        <v>295190.527122839</v>
      </c>
    </row>
    <row r="361" spans="2:5" x14ac:dyDescent="0.3">
      <c r="B361" s="72">
        <v>33.253540296558498</v>
      </c>
      <c r="C361" s="71">
        <v>0.99057956413758796</v>
      </c>
      <c r="D361" s="69">
        <v>2011819.0749383529</v>
      </c>
      <c r="E361" s="72">
        <v>297505.31992877898</v>
      </c>
    </row>
    <row r="362" spans="2:5" x14ac:dyDescent="0.3">
      <c r="B362" s="72">
        <v>33.317452649149303</v>
      </c>
      <c r="C362" s="71">
        <v>0.99091676443231302</v>
      </c>
      <c r="D362" s="69">
        <v>2008325.517464763</v>
      </c>
      <c r="E362" s="72">
        <v>298877.455671084</v>
      </c>
    </row>
    <row r="363" spans="2:5" x14ac:dyDescent="0.3">
      <c r="B363" s="72">
        <v>33.330381326409103</v>
      </c>
      <c r="C363" s="71">
        <v>0.99103625058617795</v>
      </c>
      <c r="D363" s="69">
        <v>2012042.8197280641</v>
      </c>
      <c r="E363" s="72">
        <v>299357.58996264299</v>
      </c>
    </row>
    <row r="364" spans="2:5" x14ac:dyDescent="0.3">
      <c r="B364" s="72">
        <v>33.359543171137801</v>
      </c>
      <c r="C364" s="71">
        <v>0.99113636285571605</v>
      </c>
      <c r="D364" s="69">
        <v>2007155.822088507</v>
      </c>
      <c r="E364" s="72">
        <v>299771.31260986702</v>
      </c>
    </row>
    <row r="365" spans="2:5" x14ac:dyDescent="0.3">
      <c r="B365" s="72">
        <v>33.474710933016297</v>
      </c>
      <c r="C365" s="71">
        <v>0.99173779643005</v>
      </c>
      <c r="D365" s="69">
        <v>2007259.5397843539</v>
      </c>
      <c r="E365" s="72">
        <v>302219.35624180699</v>
      </c>
    </row>
    <row r="366" spans="2:5" x14ac:dyDescent="0.3">
      <c r="B366" s="72">
        <v>33.502241583268003</v>
      </c>
      <c r="C366" s="71">
        <v>0.99188278092075099</v>
      </c>
      <c r="D366" s="69">
        <v>2008422.0156339104</v>
      </c>
      <c r="E366" s="72">
        <v>302809.32803471299</v>
      </c>
    </row>
    <row r="367" spans="2:5" x14ac:dyDescent="0.3">
      <c r="B367" s="72">
        <v>33.5210511780734</v>
      </c>
      <c r="C367" s="71">
        <v>0.991982020186709</v>
      </c>
      <c r="D367" s="69">
        <v>2006961.3913860423</v>
      </c>
      <c r="E367" s="72">
        <v>303213.11962621898</v>
      </c>
    </row>
    <row r="368" spans="2:5" x14ac:dyDescent="0.3">
      <c r="B368" s="72">
        <v>33.525189156518799</v>
      </c>
      <c r="C368" s="71">
        <v>0.99200032287428597</v>
      </c>
      <c r="D368" s="69">
        <v>2008348.0914260331</v>
      </c>
      <c r="E368" s="72">
        <v>303288.10962701502</v>
      </c>
    </row>
    <row r="369" spans="2:5" x14ac:dyDescent="0.3">
      <c r="B369" s="72">
        <v>33.575621806106803</v>
      </c>
      <c r="C369" s="71">
        <v>0.99226812065943304</v>
      </c>
      <c r="D369" s="69">
        <v>2009586.2431795527</v>
      </c>
      <c r="E369" s="72">
        <v>304377.50973042898</v>
      </c>
    </row>
    <row r="370" spans="2:5" x14ac:dyDescent="0.3">
      <c r="B370" s="72">
        <v>33.685728141875799</v>
      </c>
      <c r="C370" s="71">
        <v>0.99284794970127599</v>
      </c>
      <c r="D370" s="69">
        <v>2007409.7843560001</v>
      </c>
      <c r="E370" s="72">
        <v>306736.97536141699</v>
      </c>
    </row>
    <row r="371" spans="2:5" x14ac:dyDescent="0.3">
      <c r="B371" s="72">
        <v>33.711439142329603</v>
      </c>
      <c r="C371" s="71">
        <v>0.99298413507945504</v>
      </c>
      <c r="D371" s="69">
        <v>2006565.3668377027</v>
      </c>
      <c r="E371" s="72">
        <v>307291.023494614</v>
      </c>
    </row>
    <row r="372" spans="2:5" x14ac:dyDescent="0.3">
      <c r="B372" s="72">
        <v>33.734547926283398</v>
      </c>
      <c r="C372" s="71">
        <v>0.99310682074809997</v>
      </c>
      <c r="D372" s="69">
        <v>2008393.1898357444</v>
      </c>
      <c r="E372" s="72">
        <v>307790.09128943202</v>
      </c>
    </row>
    <row r="373" spans="2:5" x14ac:dyDescent="0.3">
      <c r="B373" s="72">
        <v>33.7728911351428</v>
      </c>
      <c r="C373" s="71">
        <v>0.99331249362893004</v>
      </c>
      <c r="D373" s="69">
        <v>2008370.2736768457</v>
      </c>
      <c r="E373" s="72">
        <v>308626.39083803102</v>
      </c>
    </row>
    <row r="374" spans="2:5" x14ac:dyDescent="0.3">
      <c r="B374" s="72">
        <v>33.7817798707054</v>
      </c>
      <c r="C374" s="71">
        <v>0.99335765076226201</v>
      </c>
      <c r="D374" s="69">
        <v>2007690.5836782509</v>
      </c>
      <c r="E374" s="72">
        <v>308810.44805946498</v>
      </c>
    </row>
    <row r="375" spans="2:5" x14ac:dyDescent="0.3">
      <c r="B375" s="72">
        <v>33.793158979003501</v>
      </c>
      <c r="C375" s="71">
        <v>0.99341803729219202</v>
      </c>
      <c r="D375" s="69">
        <v>2008204.0260860543</v>
      </c>
      <c r="E375" s="72">
        <v>309056.09888390399</v>
      </c>
    </row>
    <row r="376" spans="2:5" x14ac:dyDescent="0.3">
      <c r="B376" s="72">
        <v>33.811110152770901</v>
      </c>
      <c r="C376" s="71">
        <v>0.99351362628908202</v>
      </c>
      <c r="D376" s="69">
        <v>2007723.7611256281</v>
      </c>
      <c r="E376" s="72">
        <v>309444.898216167</v>
      </c>
    </row>
    <row r="377" spans="2:5" x14ac:dyDescent="0.3">
      <c r="B377" s="72">
        <v>33.821641015322697</v>
      </c>
      <c r="C377" s="71">
        <v>0.99357129048774495</v>
      </c>
      <c r="D377" s="69">
        <v>2008323.791188942</v>
      </c>
      <c r="E377" s="72">
        <v>309679.14697354799</v>
      </c>
    </row>
    <row r="378" spans="2:5" x14ac:dyDescent="0.3">
      <c r="B378" s="72">
        <v>33.855983461941797</v>
      </c>
      <c r="C378" s="71">
        <v>0.993753114042913</v>
      </c>
      <c r="D378" s="69">
        <v>2008135.4719757054</v>
      </c>
      <c r="E378" s="72">
        <v>310418.89659914898</v>
      </c>
    </row>
    <row r="379" spans="2:5" x14ac:dyDescent="0.3">
      <c r="B379" s="72">
        <v>33.8609026322764</v>
      </c>
      <c r="C379" s="71">
        <v>0.99377925214401197</v>
      </c>
      <c r="D379" s="69">
        <v>2007941.0591362764</v>
      </c>
      <c r="E379" s="72">
        <v>310525.223458055</v>
      </c>
    </row>
    <row r="380" spans="2:5" x14ac:dyDescent="0.3">
      <c r="B380" s="72">
        <v>33.865658143448599</v>
      </c>
      <c r="C380" s="71">
        <v>0.99380471746983601</v>
      </c>
      <c r="D380" s="69">
        <v>2007708.2132347184</v>
      </c>
      <c r="E380" s="72">
        <v>310628.77463147702</v>
      </c>
    </row>
    <row r="381" spans="2:5" x14ac:dyDescent="0.3">
      <c r="B381" s="72">
        <v>33.970772700286098</v>
      </c>
      <c r="C381" s="71">
        <v>0.99436788654216302</v>
      </c>
      <c r="D381" s="69">
        <v>2008443.654566467</v>
      </c>
      <c r="E381" s="72">
        <v>312918.74682348297</v>
      </c>
    </row>
    <row r="382" spans="2:5" x14ac:dyDescent="0.3">
      <c r="B382" s="72">
        <v>33.987337724520899</v>
      </c>
      <c r="C382" s="71">
        <v>0.99445716321614097</v>
      </c>
      <c r="D382" s="69">
        <v>2009257.3526961631</v>
      </c>
      <c r="E382" s="72">
        <v>313281.673809695</v>
      </c>
    </row>
    <row r="383" spans="2:5" x14ac:dyDescent="0.3">
      <c r="B383" s="72">
        <v>33.991087936351398</v>
      </c>
      <c r="C383" s="71">
        <v>0.99447662641060797</v>
      </c>
      <c r="D383" s="69">
        <v>2008013.253159547</v>
      </c>
      <c r="E383" s="72">
        <v>313360.93492633803</v>
      </c>
    </row>
    <row r="384" spans="2:5" x14ac:dyDescent="0.3">
      <c r="B384" s="72">
        <v>34.0740563840451</v>
      </c>
      <c r="C384" s="71">
        <v>0.99492270624616896</v>
      </c>
      <c r="D384" s="69">
        <v>2008564.5401359254</v>
      </c>
      <c r="E384" s="72">
        <v>315174.49109113897</v>
      </c>
    </row>
    <row r="385" spans="2:5" x14ac:dyDescent="0.3">
      <c r="B385" s="72">
        <v>34.089725120636501</v>
      </c>
      <c r="C385" s="71">
        <v>0.99500725466048701</v>
      </c>
      <c r="D385" s="69">
        <v>2016140.0630576289</v>
      </c>
      <c r="E385" s="72">
        <v>315518.16520132101</v>
      </c>
    </row>
    <row r="386" spans="2:5" x14ac:dyDescent="0.3">
      <c r="B386" s="72">
        <v>34.105807906537301</v>
      </c>
      <c r="C386" s="71">
        <v>0.99509395183474403</v>
      </c>
      <c r="D386" s="69">
        <v>2008134.0287002076</v>
      </c>
      <c r="E386" s="72">
        <v>315870.58246119798</v>
      </c>
    </row>
    <row r="387" spans="2:5" x14ac:dyDescent="0.3">
      <c r="B387" s="72">
        <v>34.114339321651499</v>
      </c>
      <c r="C387" s="71">
        <v>0.99514425971478604</v>
      </c>
      <c r="D387" s="69">
        <v>2009349.6640608241</v>
      </c>
      <c r="E387" s="72">
        <v>316074.13119831303</v>
      </c>
    </row>
    <row r="388" spans="2:5" x14ac:dyDescent="0.3">
      <c r="B388" s="72">
        <v>34.1963167147264</v>
      </c>
      <c r="C388" s="71">
        <v>0.99558457913620602</v>
      </c>
      <c r="D388" s="69">
        <v>2008342.2776384901</v>
      </c>
      <c r="E388" s="72">
        <v>317864.35874644999</v>
      </c>
    </row>
    <row r="389" spans="2:5" x14ac:dyDescent="0.3">
      <c r="B389" s="72">
        <v>34.209727060372401</v>
      </c>
      <c r="C389" s="71">
        <v>0.99565771638540101</v>
      </c>
      <c r="D389" s="69">
        <v>2008616.5159859573</v>
      </c>
      <c r="E389" s="72">
        <v>318161.47569046501</v>
      </c>
    </row>
    <row r="390" spans="2:5" x14ac:dyDescent="0.3">
      <c r="B390" s="72">
        <v>34.225661036354403</v>
      </c>
      <c r="C390" s="71">
        <v>0.99574548800834095</v>
      </c>
      <c r="D390" s="69">
        <v>2008104.1588530713</v>
      </c>
      <c r="E390" s="72">
        <v>318517.82313039299</v>
      </c>
    </row>
    <row r="391" spans="2:5" x14ac:dyDescent="0.3">
      <c r="B391" s="72">
        <v>34.266345320327098</v>
      </c>
      <c r="C391" s="71">
        <v>0.99596374104172702</v>
      </c>
      <c r="D391" s="69">
        <v>2008184.7216994434</v>
      </c>
      <c r="E391" s="72">
        <v>319405.27675827802</v>
      </c>
    </row>
    <row r="392" spans="2:5" x14ac:dyDescent="0.3">
      <c r="B392" s="72">
        <v>34.269972683287797</v>
      </c>
      <c r="C392" s="71">
        <v>0.99598420922368103</v>
      </c>
      <c r="D392" s="69">
        <v>2008467.8041930629</v>
      </c>
      <c r="E392" s="72">
        <v>319488.256631586</v>
      </c>
    </row>
    <row r="393" spans="2:5" x14ac:dyDescent="0.3">
      <c r="B393" s="72">
        <v>34.368083058797801</v>
      </c>
      <c r="C393" s="71">
        <v>0.99651871618971199</v>
      </c>
      <c r="D393" s="69">
        <v>2008161.1683412255</v>
      </c>
      <c r="E393" s="72">
        <v>321659.708736689</v>
      </c>
    </row>
    <row r="394" spans="2:5" x14ac:dyDescent="0.3">
      <c r="B394" s="72">
        <v>34.4916218811668</v>
      </c>
      <c r="C394" s="71">
        <v>0.99719465183283895</v>
      </c>
      <c r="D394" s="69">
        <v>2008371.9851779738</v>
      </c>
      <c r="E394" s="72">
        <v>324404.98516821599</v>
      </c>
    </row>
    <row r="395" spans="2:5" x14ac:dyDescent="0.3">
      <c r="B395" s="72">
        <v>34.495251647249397</v>
      </c>
      <c r="C395" s="71">
        <v>0.997214330771099</v>
      </c>
      <c r="D395" s="69">
        <v>2007659.2794533956</v>
      </c>
      <c r="E395" s="72">
        <v>324484.97111602197</v>
      </c>
    </row>
    <row r="396" spans="2:5" x14ac:dyDescent="0.3">
      <c r="B396" s="72">
        <v>34.503108579919598</v>
      </c>
      <c r="C396" s="71">
        <v>0.997257225773725</v>
      </c>
      <c r="D396" s="69">
        <v>2008796.7731821951</v>
      </c>
      <c r="E396" s="72">
        <v>324659.21087894298</v>
      </c>
    </row>
    <row r="397" spans="2:5" x14ac:dyDescent="0.3">
      <c r="B397" s="72">
        <v>34.535953451015402</v>
      </c>
      <c r="C397" s="71">
        <v>0.99743814910676398</v>
      </c>
      <c r="D397" s="69">
        <v>2008471.66966926</v>
      </c>
      <c r="E397" s="72">
        <v>325393.68920508598</v>
      </c>
    </row>
    <row r="398" spans="2:5" x14ac:dyDescent="0.3">
      <c r="B398" s="72">
        <v>34.660489548541399</v>
      </c>
      <c r="C398" s="71">
        <v>0.99812518936994998</v>
      </c>
      <c r="D398" s="69">
        <v>2008168.1513784905</v>
      </c>
      <c r="E398" s="72">
        <v>328182.55095830199</v>
      </c>
    </row>
    <row r="399" spans="2:5" x14ac:dyDescent="0.3">
      <c r="B399" s="72">
        <v>34.665499699632598</v>
      </c>
      <c r="C399" s="71">
        <v>0.99815268299540305</v>
      </c>
      <c r="D399" s="69">
        <v>2008722.9104310153</v>
      </c>
      <c r="E399" s="72">
        <v>328294.20270442899</v>
      </c>
    </row>
    <row r="400" spans="2:5" x14ac:dyDescent="0.3">
      <c r="B400" s="72">
        <v>34.680896423138798</v>
      </c>
      <c r="C400" s="71">
        <v>0.99823772610104899</v>
      </c>
      <c r="D400" s="69">
        <v>2008249.7441326028</v>
      </c>
      <c r="E400" s="72">
        <v>328639.37923807598</v>
      </c>
    </row>
    <row r="401" spans="2:5" x14ac:dyDescent="0.3">
      <c r="B401" s="72">
        <v>34.701532580055598</v>
      </c>
      <c r="C401" s="71">
        <v>0.99835207352108202</v>
      </c>
      <c r="D401" s="69">
        <v>2008402.7409838426</v>
      </c>
      <c r="E401" s="72">
        <v>329103.39186195499</v>
      </c>
    </row>
    <row r="402" spans="2:5" x14ac:dyDescent="0.3">
      <c r="B402" s="72">
        <v>34.705010611081498</v>
      </c>
      <c r="C402" s="71">
        <v>0.99837127647519797</v>
      </c>
      <c r="D402" s="69">
        <v>2008316.1718462824</v>
      </c>
      <c r="E402" s="72">
        <v>329181.345909147</v>
      </c>
    </row>
    <row r="403" spans="2:5" x14ac:dyDescent="0.3">
      <c r="B403" s="72">
        <v>34.729310091456298</v>
      </c>
      <c r="C403" s="71">
        <v>0.99850601098749103</v>
      </c>
      <c r="D403" s="69">
        <v>2008472.8444471748</v>
      </c>
      <c r="E403" s="72">
        <v>329728.05792728101</v>
      </c>
    </row>
    <row r="404" spans="2:5" x14ac:dyDescent="0.3">
      <c r="B404" s="72">
        <v>34.853959640342403</v>
      </c>
      <c r="C404" s="71">
        <v>0.99919918170660305</v>
      </c>
      <c r="D404" s="69">
        <v>2008429.014294087</v>
      </c>
      <c r="E404" s="72">
        <v>332540.181902015</v>
      </c>
    </row>
    <row r="405" spans="2:5" x14ac:dyDescent="0.3">
      <c r="B405" s="72">
        <v>34.874005828930102</v>
      </c>
      <c r="C405" s="71">
        <v>0.99931102143775297</v>
      </c>
      <c r="D405" s="69">
        <v>2008467.1922049201</v>
      </c>
      <c r="E405" s="72">
        <v>332993.79042260902</v>
      </c>
    </row>
    <row r="406" spans="2:5" x14ac:dyDescent="0.3">
      <c r="B406" s="72">
        <v>34.922600529949101</v>
      </c>
      <c r="C406" s="71">
        <v>0.99958244093802096</v>
      </c>
      <c r="D406" s="69">
        <v>2008453.3782608379</v>
      </c>
      <c r="E406" s="72">
        <v>334094.54282716103</v>
      </c>
    </row>
    <row r="407" spans="2:5" x14ac:dyDescent="0.3">
      <c r="B407" s="75"/>
      <c r="C407" s="76"/>
      <c r="D407" s="77"/>
      <c r="E407" s="78"/>
    </row>
    <row r="408" spans="2:5" x14ac:dyDescent="0.3">
      <c r="B408" s="65"/>
      <c r="C408" s="66"/>
      <c r="E408" s="65"/>
    </row>
    <row r="409" spans="2:5" x14ac:dyDescent="0.3">
      <c r="B409" s="65"/>
      <c r="C409" s="66"/>
      <c r="E409" s="65"/>
    </row>
    <row r="410" spans="2:5" x14ac:dyDescent="0.3">
      <c r="B410" s="65"/>
      <c r="C410" s="66"/>
      <c r="E410" s="65"/>
    </row>
    <row r="411" spans="2:5" x14ac:dyDescent="0.3">
      <c r="B411" s="65"/>
      <c r="C411" s="66"/>
      <c r="E411" s="65"/>
    </row>
    <row r="413" spans="2:5" x14ac:dyDescent="0.3">
      <c r="B413" s="67"/>
      <c r="C413" s="67"/>
    </row>
    <row r="414" spans="2:5" x14ac:dyDescent="0.3">
      <c r="B414" s="67"/>
      <c r="C414" s="67"/>
    </row>
  </sheetData>
  <dataValidations count="4">
    <dataValidation type="list" errorStyle="information" allowBlank="1" showInputMessage="1" showErrorMessage="1" promptTitle="Curve Choice" sqref="B3">
      <formula1>"Cooling, Heating, Other"</formula1>
    </dataValidation>
    <dataValidation type="list" allowBlank="1" showErrorMessage="1" promptTitle="Curve Type" sqref="B4">
      <formula1>"Temperature, Flow"</formula1>
    </dataValidation>
    <dataValidation type="list" allowBlank="1" showInputMessage="1" showErrorMessage="1" sqref="B5">
      <formula1>"Biquadratic, Cubic, Quadratic, Bicubic"</formula1>
    </dataValidation>
    <dataValidation type="list" allowBlank="1" showInputMessage="1" showErrorMessage="1" sqref="B6">
      <formula1>"IP, SI"</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68" r:id="rId4" name="Button 20">
              <controlPr defaultSize="0" print="0" autoFill="0" autoPict="0" macro="[0]!ManageCurveFit">
                <anchor moveWithCells="1" sizeWithCells="1">
                  <from>
                    <xdr:col>3</xdr:col>
                    <xdr:colOff>106680</xdr:colOff>
                    <xdr:row>3</xdr:row>
                    <xdr:rowOff>38100</xdr:rowOff>
                  </from>
                  <to>
                    <xdr:col>4</xdr:col>
                    <xdr:colOff>1409700</xdr:colOff>
                    <xdr:row>5</xdr:row>
                    <xdr:rowOff>121920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B2:M49"/>
  <sheetViews>
    <sheetView tabSelected="1" zoomScale="85" zoomScaleNormal="85" workbookViewId="0">
      <selection activeCell="E15" sqref="E15"/>
    </sheetView>
  </sheetViews>
  <sheetFormatPr defaultRowHeight="14.4" x14ac:dyDescent="0.3"/>
  <cols>
    <col min="1" max="1" width="3.109375" customWidth="1"/>
    <col min="2" max="2" width="28.44140625" bestFit="1" customWidth="1"/>
    <col min="3" max="3" width="24.44140625" bestFit="1" customWidth="1"/>
    <col min="4" max="8" width="9.6640625" customWidth="1"/>
    <col min="9" max="9" width="13.5546875" customWidth="1"/>
    <col min="10" max="10" width="12.33203125" customWidth="1"/>
    <col min="13" max="13" width="47" customWidth="1"/>
  </cols>
  <sheetData>
    <row r="2" spans="2:13" x14ac:dyDescent="0.3">
      <c r="B2" s="4" t="s">
        <v>39</v>
      </c>
      <c r="C2" t="s">
        <v>54</v>
      </c>
    </row>
    <row r="3" spans="2:13" x14ac:dyDescent="0.3">
      <c r="B3" s="6" t="s">
        <v>40</v>
      </c>
      <c r="C3" t="s">
        <v>75</v>
      </c>
    </row>
    <row r="6" spans="2:13" x14ac:dyDescent="0.3">
      <c r="B6" s="50" t="s">
        <v>76</v>
      </c>
      <c r="C6" s="51" t="s">
        <v>6</v>
      </c>
    </row>
    <row r="7" spans="2:13" x14ac:dyDescent="0.3">
      <c r="B7" s="54" t="s">
        <v>68</v>
      </c>
      <c r="C7" s="51"/>
      <c r="E7" s="50"/>
    </row>
    <row r="8" spans="2:13" x14ac:dyDescent="0.3">
      <c r="B8" s="54" t="s">
        <v>78</v>
      </c>
      <c r="C8" s="51" t="s">
        <v>38</v>
      </c>
      <c r="E8" s="50"/>
    </row>
    <row r="9" spans="2:13" x14ac:dyDescent="0.3">
      <c r="B9" s="54">
        <v>-0.51547967169999998</v>
      </c>
      <c r="C9" s="51" t="s">
        <v>7</v>
      </c>
      <c r="E9" s="50"/>
      <c r="M9" s="62"/>
    </row>
    <row r="10" spans="2:13" x14ac:dyDescent="0.3">
      <c r="B10" s="54">
        <v>6.5480948299999994E-2</v>
      </c>
      <c r="C10" s="51" t="s">
        <v>8</v>
      </c>
      <c r="E10" s="50"/>
      <c r="M10" s="62"/>
    </row>
    <row r="11" spans="2:13" x14ac:dyDescent="0.3">
      <c r="B11" s="54">
        <v>-3.0153198000000001E-3</v>
      </c>
      <c r="C11" s="51" t="s">
        <v>9</v>
      </c>
      <c r="E11" s="50"/>
      <c r="M11" s="62"/>
    </row>
    <row r="12" spans="2:13" x14ac:dyDescent="0.3">
      <c r="B12" s="54">
        <v>0.91179137779999997</v>
      </c>
      <c r="C12" s="51" t="s">
        <v>61</v>
      </c>
      <c r="E12" s="50"/>
      <c r="M12" s="62"/>
    </row>
    <row r="13" spans="2:13" x14ac:dyDescent="0.3">
      <c r="B13" s="54">
        <v>-0.58321620959999998</v>
      </c>
      <c r="C13" s="51" t="s">
        <v>62</v>
      </c>
      <c r="E13" s="50"/>
      <c r="M13" s="62"/>
    </row>
    <row r="14" spans="2:13" x14ac:dyDescent="0.3">
      <c r="B14" s="54">
        <v>4.36399248E-2</v>
      </c>
      <c r="C14" s="51" t="s">
        <v>63</v>
      </c>
      <c r="E14" s="50"/>
      <c r="M14" s="62"/>
    </row>
    <row r="15" spans="2:13" x14ac:dyDescent="0.3">
      <c r="B15" s="58">
        <v>4.3228200000000001E-5</v>
      </c>
      <c r="C15" s="51" t="s">
        <v>69</v>
      </c>
      <c r="E15" s="50"/>
      <c r="M15" s="62"/>
    </row>
    <row r="16" spans="2:13" x14ac:dyDescent="0.3">
      <c r="B16" s="58">
        <v>-0.64268886790000002</v>
      </c>
      <c r="C16" s="51" t="s">
        <v>70</v>
      </c>
      <c r="E16" s="50"/>
      <c r="M16" s="62"/>
    </row>
    <row r="17" spans="2:13" x14ac:dyDescent="0.3">
      <c r="B17" s="58">
        <v>-1.6601493E-3</v>
      </c>
      <c r="C17" s="51" t="s">
        <v>71</v>
      </c>
      <c r="E17" s="50"/>
      <c r="M17" s="62"/>
    </row>
    <row r="18" spans="2:13" x14ac:dyDescent="0.3">
      <c r="B18" s="58">
        <v>5.3872394800000001E-2</v>
      </c>
      <c r="C18" s="51" t="s">
        <v>72</v>
      </c>
      <c r="E18" s="50"/>
      <c r="M18" s="62"/>
    </row>
    <row r="19" spans="2:13" x14ac:dyDescent="0.3">
      <c r="B19" s="55">
        <v>10.18</v>
      </c>
      <c r="C19" s="51" t="s">
        <v>10</v>
      </c>
      <c r="E19" s="50"/>
      <c r="M19" s="62"/>
    </row>
    <row r="20" spans="2:13" x14ac:dyDescent="0.3">
      <c r="B20" s="55">
        <v>34.92</v>
      </c>
      <c r="C20" s="51" t="s">
        <v>11</v>
      </c>
      <c r="E20" s="50"/>
      <c r="M20" s="62"/>
    </row>
    <row r="21" spans="2:13" x14ac:dyDescent="0.3">
      <c r="B21" s="50">
        <v>0.02</v>
      </c>
      <c r="C21" s="51" t="s">
        <v>64</v>
      </c>
      <c r="E21" s="50"/>
    </row>
    <row r="22" spans="2:13" x14ac:dyDescent="0.3">
      <c r="B22" s="50">
        <v>1</v>
      </c>
      <c r="C22" s="51" t="s">
        <v>65</v>
      </c>
    </row>
    <row r="23" spans="2:13" x14ac:dyDescent="0.3">
      <c r="B23" s="50">
        <v>5.0000000000000001E-4</v>
      </c>
      <c r="C23" s="51" t="s">
        <v>12</v>
      </c>
    </row>
    <row r="24" spans="2:13" x14ac:dyDescent="0.3">
      <c r="B24" s="50">
        <v>1.0150999999999999</v>
      </c>
      <c r="C24" s="51" t="s">
        <v>13</v>
      </c>
    </row>
    <row r="25" spans="2:13" x14ac:dyDescent="0.3">
      <c r="B25" s="50" t="s">
        <v>55</v>
      </c>
      <c r="C25" s="51" t="s">
        <v>14</v>
      </c>
    </row>
    <row r="26" spans="2:13" x14ac:dyDescent="0.3">
      <c r="B26" s="54" t="s">
        <v>55</v>
      </c>
      <c r="C26" s="51" t="s">
        <v>66</v>
      </c>
      <c r="E26" s="50"/>
      <c r="F26" s="51"/>
    </row>
    <row r="27" spans="2:13" x14ac:dyDescent="0.3">
      <c r="B27" s="54" t="s">
        <v>15</v>
      </c>
      <c r="C27" s="51" t="s">
        <v>16</v>
      </c>
      <c r="E27" s="50"/>
      <c r="F27" s="51"/>
    </row>
    <row r="28" spans="2:13" x14ac:dyDescent="0.3">
      <c r="B28" s="54"/>
      <c r="C28" s="51"/>
      <c r="E28" s="50"/>
      <c r="F28" s="51"/>
    </row>
    <row r="29" spans="2:13" x14ac:dyDescent="0.3">
      <c r="B29" s="54"/>
      <c r="C29" s="51"/>
      <c r="E29" s="50"/>
      <c r="F29" s="51"/>
      <c r="M29" s="62"/>
    </row>
    <row r="30" spans="2:13" x14ac:dyDescent="0.3">
      <c r="B30" s="54"/>
      <c r="C30" s="51"/>
      <c r="E30" s="50"/>
      <c r="F30" s="51"/>
      <c r="M30" s="62"/>
    </row>
    <row r="31" spans="2:13" x14ac:dyDescent="0.3">
      <c r="B31" s="54"/>
      <c r="C31" s="51"/>
      <c r="E31" s="50"/>
      <c r="F31" s="51"/>
      <c r="M31" s="62"/>
    </row>
    <row r="32" spans="2:13" x14ac:dyDescent="0.3">
      <c r="B32" s="54"/>
      <c r="C32" s="51"/>
      <c r="E32" s="50"/>
      <c r="F32" s="51"/>
      <c r="M32" s="62"/>
    </row>
    <row r="33" spans="2:13" x14ac:dyDescent="0.3">
      <c r="B33" s="54"/>
      <c r="C33" s="51"/>
      <c r="E33" s="50"/>
      <c r="F33" s="51"/>
      <c r="M33" s="62"/>
    </row>
    <row r="34" spans="2:13" x14ac:dyDescent="0.3">
      <c r="B34" s="54"/>
      <c r="C34" s="51"/>
      <c r="E34" s="50"/>
      <c r="F34" s="51"/>
      <c r="M34" s="62"/>
    </row>
    <row r="35" spans="2:13" x14ac:dyDescent="0.3">
      <c r="B35" s="58"/>
      <c r="C35" s="51"/>
      <c r="E35" s="50"/>
      <c r="F35" s="51"/>
      <c r="M35" s="62"/>
    </row>
    <row r="36" spans="2:13" x14ac:dyDescent="0.3">
      <c r="B36" s="50"/>
      <c r="C36" s="51"/>
      <c r="E36" s="50"/>
      <c r="F36" s="51"/>
      <c r="M36" s="62"/>
    </row>
    <row r="37" spans="2:13" x14ac:dyDescent="0.3">
      <c r="B37" s="50"/>
      <c r="C37" s="51"/>
      <c r="E37" s="50"/>
      <c r="F37" s="51"/>
      <c r="M37" s="62"/>
    </row>
    <row r="38" spans="2:13" x14ac:dyDescent="0.3">
      <c r="B38" s="50"/>
      <c r="C38" s="51"/>
      <c r="E38" s="50"/>
      <c r="F38" s="51"/>
      <c r="M38" s="62"/>
    </row>
    <row r="39" spans="2:13" x14ac:dyDescent="0.3">
      <c r="B39" s="50"/>
      <c r="C39" s="51"/>
      <c r="E39" s="50"/>
      <c r="F39" s="51"/>
      <c r="M39" s="62"/>
    </row>
    <row r="40" spans="2:13" x14ac:dyDescent="0.3">
      <c r="B40" s="50"/>
      <c r="C40" s="51"/>
      <c r="E40" s="50"/>
      <c r="F40" s="51"/>
      <c r="M40" s="62"/>
    </row>
    <row r="41" spans="2:13" x14ac:dyDescent="0.3">
      <c r="B41" s="50"/>
      <c r="C41" s="51"/>
    </row>
    <row r="42" spans="2:13" x14ac:dyDescent="0.3">
      <c r="B42" s="50"/>
      <c r="C42" s="51"/>
    </row>
    <row r="43" spans="2:13" x14ac:dyDescent="0.3">
      <c r="B43" s="50"/>
      <c r="C43" s="51"/>
    </row>
    <row r="44" spans="2:13" x14ac:dyDescent="0.3">
      <c r="B44" s="50"/>
      <c r="C44" s="51"/>
    </row>
    <row r="45" spans="2:13" x14ac:dyDescent="0.3">
      <c r="B45" s="50"/>
    </row>
    <row r="46" spans="2:13" x14ac:dyDescent="0.3">
      <c r="B46" s="50"/>
    </row>
    <row r="47" spans="2:13" x14ac:dyDescent="0.3">
      <c r="B47" s="50"/>
    </row>
    <row r="48" spans="2:13" x14ac:dyDescent="0.3">
      <c r="B48" s="50"/>
    </row>
    <row r="49" spans="2:2" x14ac:dyDescent="0.3">
      <c r="B49" s="5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4" r:id="rId4" name="Button 2">
              <controlPr defaultSize="0" print="0" autoFill="0" autoPict="0" macro="[0]!SaveCurveObjToTextFile">
                <anchor moveWithCells="1" sizeWithCells="1">
                  <from>
                    <xdr:col>3</xdr:col>
                    <xdr:colOff>7620</xdr:colOff>
                    <xdr:row>4</xdr:row>
                    <xdr:rowOff>0</xdr:rowOff>
                  </from>
                  <to>
                    <xdr:col>6</xdr:col>
                    <xdr:colOff>297180</xdr:colOff>
                    <xdr:row>6</xdr:row>
                    <xdr:rowOff>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10</vt:i4>
      </vt:variant>
    </vt:vector>
  </HeadingPairs>
  <TitlesOfParts>
    <vt:vector size="13" baseType="lpstr">
      <vt:lpstr>INSTRUCTION</vt:lpstr>
      <vt:lpstr>INPUT</vt:lpstr>
      <vt:lpstr>OUTPUT</vt:lpstr>
      <vt:lpstr>CoolingCoil</vt:lpstr>
      <vt:lpstr>CurveObjName</vt:lpstr>
      <vt:lpstr>CurveType</vt:lpstr>
      <vt:lpstr>DXCoilType</vt:lpstr>
      <vt:lpstr>EPCurveObjName</vt:lpstr>
      <vt:lpstr>HeatingCoil</vt:lpstr>
      <vt:lpstr>IndVariables</vt:lpstr>
      <vt:lpstr>PathName</vt:lpstr>
      <vt:lpstr>RatedCondition</vt:lpstr>
      <vt:lpstr>UnitsType</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Bereket Nigusse</dc:creator>
  <cp:lastModifiedBy>Chandan</cp:lastModifiedBy>
  <dcterms:created xsi:type="dcterms:W3CDTF">2006-09-16T00:00:00Z</dcterms:created>
  <dcterms:modified xsi:type="dcterms:W3CDTF">2017-07-23T14:38:25Z</dcterms:modified>
</cp:coreProperties>
</file>